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y-react\consultant\"/>
    </mc:Choice>
  </mc:AlternateContent>
  <bookViews>
    <workbookView xWindow="-110" yWindow="-110" windowWidth="17490" windowHeight="11010" tabRatio="602" firstSheet="5" activeTab="5"/>
  </bookViews>
  <sheets>
    <sheet name="ورودی محاسبات صورت وضعیت" sheetId="46" r:id="rId1"/>
    <sheet name="1 خلاصه مالی صورت‌حساب" sheetId="9" r:id="rId2"/>
    <sheet name="2 خدمات ماهانه حین اجرا " sheetId="42" r:id="rId3"/>
    <sheet name="3 خدمات فنی کارگاهی" sheetId="1" r:id="rId4"/>
    <sheet name="رتبه و طبقه شغلی" sheetId="44" r:id="rId5"/>
    <sheet name="4 پرداخت ماهانه و کارگاهی" sheetId="43" r:id="rId6"/>
    <sheet name="5 پرداخت پشتیبانی" sheetId="14" r:id="rId7"/>
  </sheets>
  <definedNames>
    <definedName name="_xlnm.Print_Area" localSheetId="1">'1 خلاصه مالی صورت‌حساب'!$A$1:$Z$18</definedName>
    <definedName name="_xlnm.Print_Area" localSheetId="2">'2 خدمات ماهانه حین اجرا '!$A$1:$H$41</definedName>
    <definedName name="_xlnm.Print_Area" localSheetId="3">'3 خدمات فنی کارگاهی'!$A$2:$X$19</definedName>
    <definedName name="_xlnm.Print_Area" localSheetId="5">'4 پرداخت ماهانه و کارگاهی'!$B$2:$H$10</definedName>
    <definedName name="_xlnm.Print_Area" localSheetId="6">'5 پرداخت پشتیبانی'!$A$1:$R$13</definedName>
    <definedName name="_xlnm.Print_Area" localSheetId="4">'رتبه و طبقه شغلی'!$A$1:$H$8</definedName>
    <definedName name="_xlnm.Print_Area" localSheetId="0">'ورودی محاسبات صورت وضعیت'!$A$1:$Q$43</definedName>
    <definedName name="_xlnm.Print_Titles" localSheetId="2">'2 خدمات ماهانه حین اجرا '!$4:$4</definedName>
    <definedName name="Z_24F4758C_67F3_4B20_97DB_84278AACF495_.wvu.PrintArea" localSheetId="2" hidden="1">'2 خدمات ماهانه حین اجرا '!$A$3:$H$41</definedName>
    <definedName name="Z_24F4758C_67F3_4B20_97DB_84278AACF495_.wvu.PrintArea" localSheetId="0" hidden="1">'ورودی محاسبات صورت وضعیت'!#REF!</definedName>
    <definedName name="Z_24F4758C_67F3_4B20_97DB_84278AACF495_.wvu.PrintTitles" localSheetId="2" hidden="1">'2 خدمات ماهانه حین اجرا '!$4:$4</definedName>
    <definedName name="Z_422A1A29_9DA7_4D46_A957_7E4AA61F5B21_.wvu.PrintArea" localSheetId="2" hidden="1">'2 خدمات ماهانه حین اجرا '!$A$3:$H$41</definedName>
    <definedName name="Z_422A1A29_9DA7_4D46_A957_7E4AA61F5B21_.wvu.PrintArea" localSheetId="0" hidden="1">'ورودی محاسبات صورت وضعیت'!#REF!</definedName>
    <definedName name="Z_422A1A29_9DA7_4D46_A957_7E4AA61F5B21_.wvu.PrintTitles" localSheetId="2" hidden="1">'2 خدمات ماهانه حین اجرا '!$4:$4</definedName>
    <definedName name="Z_FCDFC4C8_384B_4F37_B0B3_C692D44D3CB7_.wvu.PrintArea" localSheetId="2" hidden="1">'2 خدمات ماهانه حین اجرا '!$A$3:$H$41</definedName>
    <definedName name="Z_FCDFC4C8_384B_4F37_B0B3_C692D44D3CB7_.wvu.PrintArea" localSheetId="0" hidden="1">'ورودی محاسبات صورت وضعیت'!#REF!</definedName>
    <definedName name="Z_FCDFC4C8_384B_4F37_B0B3_C692D44D3CB7_.wvu.PrintTitles" localSheetId="2" hidden="1">'2 خدمات ماهانه حین اجرا '!$4:$4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9" i="46" l="1"/>
  <c r="Q37" i="46"/>
  <c r="P9" i="1" l="1"/>
  <c r="Q35" i="46" l="1"/>
  <c r="Q33" i="46"/>
  <c r="Q31" i="46"/>
  <c r="Q29" i="46"/>
  <c r="Q27" i="46"/>
  <c r="Q25" i="46"/>
  <c r="Q23" i="46"/>
  <c r="Q21" i="46"/>
  <c r="Q19" i="46"/>
  <c r="Q17" i="46"/>
  <c r="Q15" i="46"/>
  <c r="Q13" i="46"/>
  <c r="Q11" i="46"/>
  <c r="Q9" i="46"/>
  <c r="Q7" i="46"/>
  <c r="Q5" i="46"/>
  <c r="Q3" i="46"/>
  <c r="Q41" i="46" l="1"/>
  <c r="G11" i="42" l="1"/>
  <c r="G12" i="42"/>
  <c r="G13" i="42"/>
  <c r="G15" i="42"/>
  <c r="G16" i="42"/>
  <c r="G17" i="42"/>
  <c r="G18" i="42"/>
  <c r="G19" i="42"/>
  <c r="G21" i="42"/>
  <c r="G22" i="42"/>
  <c r="G23" i="42"/>
  <c r="G24" i="42"/>
  <c r="G25" i="42"/>
  <c r="G26" i="42"/>
  <c r="G28" i="42"/>
  <c r="G29" i="42"/>
  <c r="G30" i="42"/>
  <c r="G31" i="42"/>
  <c r="G32" i="42"/>
  <c r="G34" i="42"/>
  <c r="G36" i="42"/>
  <c r="G38" i="42"/>
  <c r="G40" i="42"/>
  <c r="G10" i="42"/>
  <c r="L18" i="9"/>
  <c r="I17" i="9"/>
  <c r="H10" i="42" l="1"/>
  <c r="H11" i="42"/>
  <c r="H12" i="42"/>
  <c r="H13" i="42"/>
  <c r="H15" i="42"/>
  <c r="H16" i="42"/>
  <c r="H17" i="42"/>
  <c r="H18" i="42"/>
  <c r="H19" i="42"/>
  <c r="H21" i="42"/>
  <c r="H22" i="42"/>
  <c r="H23" i="42"/>
  <c r="H24" i="42"/>
  <c r="H25" i="42"/>
  <c r="H26" i="42"/>
  <c r="H28" i="42"/>
  <c r="H29" i="42"/>
  <c r="H30" i="42"/>
  <c r="H31" i="42"/>
  <c r="H32" i="42"/>
  <c r="H34" i="42"/>
  <c r="H36" i="42"/>
  <c r="H38" i="42"/>
  <c r="H40" i="42"/>
  <c r="H9" i="42"/>
  <c r="P10" i="14"/>
  <c r="C10" i="43" l="1"/>
  <c r="C7" i="43"/>
  <c r="Q43" i="46" l="1"/>
  <c r="G2" i="44"/>
  <c r="G1" i="44"/>
  <c r="B10" i="43" l="1"/>
  <c r="D10" i="43" s="1"/>
  <c r="E10" i="43" s="1"/>
  <c r="B7" i="43"/>
  <c r="L2" i="14"/>
  <c r="L1" i="14"/>
  <c r="V3" i="1"/>
  <c r="V2" i="1"/>
  <c r="F2" i="42"/>
  <c r="F1" i="42"/>
  <c r="D7" i="43" l="1"/>
  <c r="E7" i="43" s="1"/>
  <c r="F7" i="43" s="1"/>
  <c r="P7" i="1"/>
  <c r="G41" i="42" l="1"/>
  <c r="G7" i="43" s="1"/>
  <c r="P8" i="14"/>
  <c r="H7" i="43" l="1"/>
  <c r="S8" i="1"/>
  <c r="S9" i="1"/>
  <c r="S10" i="1"/>
  <c r="S11" i="1"/>
  <c r="S12" i="1"/>
  <c r="S13" i="1"/>
  <c r="S14" i="1"/>
  <c r="S15" i="1"/>
  <c r="S16" i="1"/>
  <c r="S7" i="1"/>
  <c r="W7" i="1" s="1"/>
  <c r="G7" i="1" s="1"/>
  <c r="P8" i="1"/>
  <c r="P10" i="1"/>
  <c r="P11" i="1"/>
  <c r="P12" i="1"/>
  <c r="P13" i="1"/>
  <c r="P14" i="1"/>
  <c r="P15" i="1"/>
  <c r="P16" i="1"/>
  <c r="W13" i="1" l="1"/>
  <c r="G13" i="1" s="1"/>
  <c r="W9" i="1"/>
  <c r="G9" i="1" s="1"/>
  <c r="L7" i="9"/>
  <c r="W16" i="1"/>
  <c r="G16" i="1" s="1"/>
  <c r="W15" i="1"/>
  <c r="G15" i="1" s="1"/>
  <c r="W11" i="1"/>
  <c r="G11" i="1" s="1"/>
  <c r="W10" i="1"/>
  <c r="G10" i="1" s="1"/>
  <c r="W8" i="1"/>
  <c r="G8" i="1" s="1"/>
  <c r="W12" i="1"/>
  <c r="G12" i="1" s="1"/>
  <c r="W14" i="1"/>
  <c r="G14" i="1" s="1"/>
  <c r="W17" i="1" l="1"/>
  <c r="W19" i="1" s="1"/>
  <c r="G10" i="43" s="1"/>
  <c r="H10" i="43" s="1"/>
  <c r="P12" i="14"/>
  <c r="P11" i="14"/>
  <c r="P9" i="14"/>
  <c r="P7" i="14"/>
  <c r="P6" i="14"/>
  <c r="P5" i="14"/>
  <c r="L11" i="9" l="1"/>
  <c r="P13" i="14"/>
  <c r="L15" i="9"/>
  <c r="L17" i="9" l="1"/>
</calcChain>
</file>

<file path=xl/sharedStrings.xml><?xml version="1.0" encoding="utf-8"?>
<sst xmlns="http://schemas.openxmlformats.org/spreadsheetml/2006/main" count="284" uniqueCount="203">
  <si>
    <t>تعداد</t>
  </si>
  <si>
    <t>جمع کل حق‏الزحمه (ریال)</t>
  </si>
  <si>
    <t>ردیف</t>
  </si>
  <si>
    <t>شماره ردیف</t>
  </si>
  <si>
    <t>طبقه شغلی</t>
  </si>
  <si>
    <t>رتبه</t>
  </si>
  <si>
    <t>بهای پایه نظارت</t>
  </si>
  <si>
    <t>مجموع ساعات کارکرد روز</t>
  </si>
  <si>
    <t>مجموع ساعات کارکرد شب‌</t>
  </si>
  <si>
    <t>عادی ماهانه</t>
  </si>
  <si>
    <t>شبکاری</t>
  </si>
  <si>
    <t>نام ردیف</t>
  </si>
  <si>
    <t>هزینه ماهانه توتال استیشن با دقت 5 ثانیه و متعلقات مربوط</t>
  </si>
  <si>
    <t>هزینه ماهانه دوربین ترازیاب دیجیتال و متعلقات مربوط</t>
  </si>
  <si>
    <t>هزینه خرید دستگاه حضور و غیاب و نصب و پلمپ آن</t>
  </si>
  <si>
    <t>هزینه تامین و تجهیز دفتر کار*</t>
  </si>
  <si>
    <t>هزینه تامین و تجهیز محل سکونت*</t>
  </si>
  <si>
    <t>هزینه غذا*</t>
  </si>
  <si>
    <t>هزینه بهره‌برداری و نگهداری دفاتر کار و محل سکونت*</t>
  </si>
  <si>
    <r>
      <t xml:space="preserve">هزینه روزانه استفاده از دستگاه </t>
    </r>
    <r>
      <rPr>
        <sz val="22"/>
        <color theme="1"/>
        <rFont val="Calibri"/>
        <family val="2"/>
        <scheme val="minor"/>
      </rPr>
      <t>GPS</t>
    </r>
    <r>
      <rPr>
        <sz val="22"/>
        <color theme="1"/>
        <rFont val="B Nazanin"/>
        <charset val="178"/>
      </rPr>
      <t xml:space="preserve"> دو یا سه فرکانس</t>
    </r>
  </si>
  <si>
    <t>جمع کارکرد عوامل</t>
  </si>
  <si>
    <t>جمع هزینه‌های پشتیبانی (هزینه محل کار و سکونت) (جدول 4):</t>
  </si>
  <si>
    <r>
      <t xml:space="preserve"> جمع هزینه</t>
    </r>
    <r>
      <rPr>
        <sz val="20"/>
        <color theme="1"/>
        <rFont val="B Nazanin"/>
        <charset val="178"/>
      </rPr>
      <t>‌</t>
    </r>
    <r>
      <rPr>
        <b/>
        <sz val="20"/>
        <color theme="1"/>
        <rFont val="B Nazanin"/>
        <charset val="178"/>
      </rPr>
      <t>های پشتیبانی (دستگاه‏ها و تجهیزات نقشه‏برداری) (جدول 3):</t>
    </r>
  </si>
  <si>
    <t>کارفرما :</t>
  </si>
  <si>
    <t>مشاور :</t>
  </si>
  <si>
    <t>پیمانکار :</t>
  </si>
  <si>
    <t>وضعیت</t>
  </si>
  <si>
    <t xml:space="preserve">شماره  فصل </t>
  </si>
  <si>
    <t xml:space="preserve">شرح فصل </t>
  </si>
  <si>
    <t xml:space="preserve">حین اجرا </t>
  </si>
  <si>
    <t>بعد از اجرا</t>
  </si>
  <si>
    <t>پشتیبانی</t>
  </si>
  <si>
    <t xml:space="preserve">خدمات نظارت در دوره قبل از اجرا </t>
  </si>
  <si>
    <t xml:space="preserve"> خدمات فنی کارگاهی </t>
  </si>
  <si>
    <t>خدمات نظارت ماهانه حین اجرا (فنی و پشتیبانی دفتر مرکزی)</t>
  </si>
  <si>
    <t>خدمات نظارت موردی حین اجرا (فنی و پشتیبانی دفتر مرکزی)</t>
  </si>
  <si>
    <t xml:space="preserve">برآورد حق‌الزحمه  بر اساس پیشرفت ماهانه پروژه </t>
  </si>
  <si>
    <t>صفر</t>
  </si>
  <si>
    <t>بهای پایه واحد نظارت</t>
  </si>
  <si>
    <t>ضریب اصلاح</t>
  </si>
  <si>
    <t>بهای نظارت</t>
  </si>
  <si>
    <t>مدیریت منابع</t>
  </si>
  <si>
    <t>تحلیل، بررسی و اظهارنظر در مورد جریان مالی پروژه</t>
  </si>
  <si>
    <t>گزارش ماهانه</t>
  </si>
  <si>
    <t xml:space="preserve">مدیریت زمان </t>
  </si>
  <si>
    <t>تهیه جدول یا ساختار شکست نمایش‌دهنده میزان پیشرفت واقعی و برنامه‌ریزی‌شده در آن‌ماه</t>
  </si>
  <si>
    <t>ارائه محاسبات و پیش‌بینی‌های ارزش کسب‌شده و ارائه راهکارهای افزایش ارزش‌کسب‌شده</t>
  </si>
  <si>
    <t xml:space="preserve">خدمات مدیریت پروژه، هماهنگی و یکپارچگی </t>
  </si>
  <si>
    <t>پیگیری دستمزد کارگران پیمانکار</t>
  </si>
  <si>
    <t>گزارش</t>
  </si>
  <si>
    <t>بررسی مطالبات پیمانکاران جزء</t>
  </si>
  <si>
    <t>خدمات کنترل کیفیت</t>
  </si>
  <si>
    <t>مکاتبه و گزارش ماهانه</t>
  </si>
  <si>
    <t>مالی و قراردادی</t>
  </si>
  <si>
    <t>تهیه گزارش تحلیلی ریسک‌های پروژه و پیامدهای مثبت و منفی آن</t>
  </si>
  <si>
    <t>مدیریت ارتباطات</t>
  </si>
  <si>
    <t>تهیه بایگانی موضوعی به صورت ماهانه (مستندسازی)</t>
  </si>
  <si>
    <t>ارائه فایل آرشیو</t>
  </si>
  <si>
    <t>پیشرفت ماهانه پروژه</t>
  </si>
  <si>
    <t xml:space="preserve">جمع حق الزحمه ماهانه خدمات فنی کارگاهی  (      ) </t>
  </si>
  <si>
    <t>تاییدشده کارفرما</t>
  </si>
  <si>
    <t>حق‌الزحمه خدمات نظارت ماهانه حین اجرا</t>
  </si>
  <si>
    <t>تحویل‌شدنی</t>
  </si>
  <si>
    <t>مدیریت و برنامه‌ریزی منابع و زمان</t>
  </si>
  <si>
    <t>بررسی و تأیید فهرست نیروی انسانی مدیریت فنی موردنیاز اجرای کار</t>
  </si>
  <si>
    <t>بررسی،کنترل و اظهارنظر ماهانه ماشین‌آلات، نیروی انسانی، تجهیزات و مصالح</t>
  </si>
  <si>
    <t>کنترل و پیگیری فعالیت‌های تدارک مصالح، تجهیزات و ماشین‌آلات</t>
  </si>
  <si>
    <t>بررسی و تحلیل کنترل ورود و خروج مواد، مصالح، تجهیزات و ماشین‌آلات</t>
  </si>
  <si>
    <t>تعیین و رتبه‌بندی فعالیت‌های دارای تأخیر بر اساس معیارهای زمان، هزینه، بحرانی‌بودن و پیچیدگی</t>
  </si>
  <si>
    <t>تحلیل تأخیر فعالیت‌های دارای اهمیت بالا و ارائه راهکارها جهت جبران یا مدیریت این تأخیرها</t>
  </si>
  <si>
    <t>ارائه محاسبات مربوط به میزان تأخیرهای مجاز و غیرمجاز</t>
  </si>
  <si>
    <t>تهیه گزارش یکپارچگی مدیریت پروژه (بررسی اثر تغییرات هر حوزه بر حوزه‌های دیگر و بر زمان، هزینه و کیفیت پروژه)</t>
  </si>
  <si>
    <t>تهیه گزارش تغییرات کارهای انجام‌شده (زمان، هزینه و کیفیت)</t>
  </si>
  <si>
    <t>تهیه گزارش برگزاری جلسات پیشبرد پروژه با ارکان پروژه و ارائه سناریوهای مختلف ادامه پروژه</t>
  </si>
  <si>
    <t>گزارش به انضمام صورت‌جلسات پیشبرد اهداف کمی و کیفی پروژه</t>
  </si>
  <si>
    <t>دستور اصلاح کارهای معیوب و نظارت بر فرآیند رفع آن‌ها</t>
  </si>
  <si>
    <t>رسیدگی، اعلام نظر و تأیید نقشه‌های کارگاهی تهیه‌شده به‌وسیله پیمانکار</t>
  </si>
  <si>
    <r>
      <t xml:space="preserve">بررسی و </t>
    </r>
    <r>
      <rPr>
        <sz val="12"/>
        <color rgb="FF000000"/>
        <rFont val="B Mitra"/>
        <charset val="178"/>
      </rPr>
      <t>تایید نقشه‌های چون‌ساخت تهیه‌شده به‌وسیله پیمانکار و تأیید آن‌ها</t>
    </r>
  </si>
  <si>
    <t>صورت‌وضعیت تأییدشده توسط مهندس مشاور</t>
  </si>
  <si>
    <t>ایمنی و محیط‌زیست</t>
  </si>
  <si>
    <t>مدیریت ریسک</t>
  </si>
  <si>
    <t>ضریب ویژگی کار</t>
  </si>
  <si>
    <t>ضریب ویژگی</t>
  </si>
  <si>
    <r>
      <t>کارکرد ماهانه صورت وضعیت پیمانکار (تفاضل ردیف‌های 3و4) (</t>
    </r>
    <r>
      <rPr>
        <b/>
        <sz val="12"/>
        <color theme="1"/>
        <rFont val="B Nazanin"/>
        <charset val="178"/>
      </rPr>
      <t>F</t>
    </r>
    <r>
      <rPr>
        <b/>
        <sz val="14"/>
        <color theme="1"/>
        <rFont val="B Nazanin"/>
        <charset val="178"/>
      </rPr>
      <t>)</t>
    </r>
  </si>
  <si>
    <r>
      <t xml:space="preserve">جدول محاسبه هزینه های </t>
    </r>
    <r>
      <rPr>
        <b/>
        <sz val="20"/>
        <color rgb="FFC00000"/>
        <rFont val="B Titr"/>
        <charset val="178"/>
      </rPr>
      <t>پشتیانی</t>
    </r>
    <r>
      <rPr>
        <b/>
        <sz val="20"/>
        <rFont val="B Titr"/>
        <charset val="178"/>
      </rPr>
      <t xml:space="preserve">  پروژه « احداث ...» </t>
    </r>
  </si>
  <si>
    <t>درخواستی مشاور</t>
  </si>
  <si>
    <r>
      <t>مبلغ مطابق قرارداد</t>
    </r>
    <r>
      <rPr>
        <b/>
        <sz val="24"/>
        <color rgb="FFFF0000"/>
        <rFont val="B Nazanin"/>
        <charset val="178"/>
      </rPr>
      <t xml:space="preserve"> (ریال)</t>
    </r>
  </si>
  <si>
    <r>
      <t xml:space="preserve">کارکرد دوره جاری </t>
    </r>
    <r>
      <rPr>
        <b/>
        <sz val="24"/>
        <color rgb="FFFF0000"/>
        <rFont val="B Nazanin"/>
        <charset val="178"/>
      </rPr>
      <t>(ریال)</t>
    </r>
  </si>
  <si>
    <r>
      <t xml:space="preserve">مبلغ به حروف </t>
    </r>
    <r>
      <rPr>
        <b/>
        <sz val="24"/>
        <color rgb="FFFF0000"/>
        <rFont val="B Nazanin"/>
        <charset val="178"/>
      </rPr>
      <t>(ریال)</t>
    </r>
  </si>
  <si>
    <r>
      <t>حق‌الزحمه (</t>
    </r>
    <r>
      <rPr>
        <b/>
        <sz val="24"/>
        <color rgb="FFFF0000"/>
        <rFont val="B Nazanin"/>
        <charset val="178"/>
      </rPr>
      <t>ریال</t>
    </r>
    <r>
      <rPr>
        <b/>
        <sz val="24"/>
        <rFont val="B Nazanin"/>
        <charset val="178"/>
      </rPr>
      <t>)</t>
    </r>
  </si>
  <si>
    <r>
      <t>بهای پایه نظارت (</t>
    </r>
    <r>
      <rPr>
        <b/>
        <sz val="24"/>
        <color rgb="FFFF0000"/>
        <rFont val="B Nazanin"/>
        <charset val="178"/>
      </rPr>
      <t>ریال</t>
    </r>
    <r>
      <rPr>
        <b/>
        <sz val="24"/>
        <rFont val="B Nazanin"/>
        <charset val="178"/>
      </rPr>
      <t>)</t>
    </r>
  </si>
  <si>
    <t>جمع کل حق الزحمه (ریال)</t>
  </si>
  <si>
    <t>شماره قرارداد :</t>
  </si>
  <si>
    <t>(ریال)</t>
  </si>
  <si>
    <t xml:space="preserve">جمع کل حق الزحمه  خدمات ماهانه حین اجرا  (ریال)  (Ea) </t>
  </si>
  <si>
    <t>تعداد دستگاه‌ها و تجهیزات را وارد نمائید</t>
  </si>
  <si>
    <t>هزینه و تعداد مورد نیاز را وارد نمائید</t>
  </si>
  <si>
    <t>ضریب منطقه ای (r)</t>
  </si>
  <si>
    <t xml:space="preserve">برآورد حق‌الزحمه  بر اساس کارکرد ماهانه پروژه </t>
  </si>
  <si>
    <t>پیگیری و بررسی وضعیت رعایت دستورالعمل‌های ایمنی، امنیت، بهداشت و محیط زيست (HSSE) درکارگاه</t>
  </si>
  <si>
    <t>ضریب تردد کارگاهی طبق قرارداد (K)</t>
  </si>
  <si>
    <t xml:space="preserve"> انجام محاسبات</t>
  </si>
  <si>
    <r>
      <t xml:space="preserve">جدول </t>
    </r>
    <r>
      <rPr>
        <b/>
        <sz val="36"/>
        <color rgb="FFFF0000"/>
        <rFont val="B Titr"/>
        <charset val="178"/>
      </rPr>
      <t>راهنمای تهیه صورتحساب</t>
    </r>
    <r>
      <rPr>
        <b/>
        <sz val="36"/>
        <rFont val="B Titr"/>
        <charset val="178"/>
      </rPr>
      <t xml:space="preserve"> خدمات نظارت  بر پروژه « احداث ... » </t>
    </r>
  </si>
  <si>
    <t>صورتحساب را بر اساس تحویل‌شدنی‌های ارائه شده به کارفرما محاسبه کنید.</t>
  </si>
  <si>
    <t>*   تمامی مبالغ در صورتحساب مشاور به ریال می‌باشد.</t>
  </si>
  <si>
    <t xml:space="preserve">مبلغ تجمعی تایید شده تا ماه گذشته </t>
  </si>
  <si>
    <t>نام و نام خانوادگی</t>
  </si>
  <si>
    <t>تعداد روزهاي كاري</t>
  </si>
  <si>
    <t>سمت درکارگاه</t>
  </si>
  <si>
    <t>سرپرست عوامل فنی کارگاهی</t>
  </si>
  <si>
    <t>ناظر سیویل</t>
  </si>
  <si>
    <t>ناظر تاسیسات مکانیکی</t>
  </si>
  <si>
    <t>ناظر تاسیسات برق</t>
  </si>
  <si>
    <t>نقشه بردار</t>
  </si>
  <si>
    <t>كل ساعات كاركرد طبق زمان برگ</t>
  </si>
  <si>
    <t>رتبه شغلی</t>
  </si>
  <si>
    <t>بر اساس بند 3-3-2-2-2 بخشنامه حداکثر ساعت کاری هر یک از عوامل 250 ساعت می‌باشد.</t>
  </si>
  <si>
    <t>چک لیست ارائه تحویل شدنی به کارفرما</t>
  </si>
  <si>
    <t>گزارش ماهانه صورت‌جلسات شیت‌های آزمایشگاهی و گواهی‌های انجام کار</t>
  </si>
  <si>
    <t xml:space="preserve">فهرست بهای رشته ابنیه </t>
  </si>
  <si>
    <t>فهرست بهای رشته انتقال و توزيع آب روستايی</t>
  </si>
  <si>
    <t>فهرست بهای رشته شبكه توزيع آب</t>
  </si>
  <si>
    <t>فهرست بهای رشته سدسازی</t>
  </si>
  <si>
    <t>فهرست بهای رشته راهداری</t>
  </si>
  <si>
    <t>فهرست بهای رشته راه، راه آهن و باند فرودگاه</t>
  </si>
  <si>
    <t>فهرست بهای رشته شبكه جمع آوری و انتقال فاضلاب</t>
  </si>
  <si>
    <t>فهرست بهای رشته آبياری و زهكشی</t>
  </si>
  <si>
    <t>فهرست بهای رشته ساخت و ترميم قنات</t>
  </si>
  <si>
    <t>فهرست بهای رشته آبياری تحت فشار</t>
  </si>
  <si>
    <t xml:space="preserve"> فهرست بها ترميم و بازسازی نوار حفاری در معابر شهری</t>
  </si>
  <si>
    <t>فهرست بها نگهداری ، تعمیر روسازی و ابنیه خطوط راه آهن سال</t>
  </si>
  <si>
    <t>فهرست بهای رشته چاه</t>
  </si>
  <si>
    <t xml:space="preserve">فهرست بهای رشته تأسيسات برقی </t>
  </si>
  <si>
    <t>فهرست بهای رشته تأسيسات مكانيكی</t>
  </si>
  <si>
    <t>فهرست بهای رشته خطوط انتقال آب</t>
  </si>
  <si>
    <t xml:space="preserve">فهرست بهای آبخیزداری و منابع طبیعی </t>
  </si>
  <si>
    <t>فهارس بها</t>
  </si>
  <si>
    <t>مبلغ خرید تجهیزات خاص (در صورت وجود)</t>
  </si>
  <si>
    <t>مبلغ صورت وضعیت تایید شده پیمانکار (جمع فصول بدون ضریب پیشنهادی پیمانکار)</t>
  </si>
  <si>
    <t>تاریخ معرفی و یا اولین حضور در پروژه</t>
  </si>
  <si>
    <t>مبلغ فصول به تفکیک (بدون ضریب فصل)</t>
  </si>
  <si>
    <t>جمع کل مبلغ صورت وضعیت اصلاح شده فعلی با در نظر گرفتن مفاد بند 1-2-7-5 بخشنامه</t>
  </si>
  <si>
    <t>جمع کل مبلغ صورت وضعیت اصلاح شده قبلی با در نظر گرفتن مفاد بند 1-2-7-5 بخشنامه</t>
  </si>
  <si>
    <t>کارکرد ماهانه صورت وضعیت پیمانکار (تفاضل دو ردیف‌ فوق) (F)</t>
  </si>
  <si>
    <r>
      <t>برآورد کل حق الزحمه نظارت ماهانه حین اجراي مشاور بر اساس قرارداد (B</t>
    </r>
    <r>
      <rPr>
        <b/>
        <sz val="9"/>
        <color theme="1"/>
        <rFont val="B Nazanin"/>
        <charset val="178"/>
      </rPr>
      <t>a</t>
    </r>
    <r>
      <rPr>
        <b/>
        <sz val="10"/>
        <color theme="1"/>
        <rFont val="B Nazanin"/>
        <charset val="178"/>
      </rPr>
      <t>)</t>
    </r>
  </si>
  <si>
    <r>
      <t>برآورد کل حق الزحمه نظارت فنی کارگاهی در قرارداد (B</t>
    </r>
    <r>
      <rPr>
        <b/>
        <sz val="8"/>
        <color theme="1"/>
        <rFont val="B Nazanin"/>
        <charset val="178"/>
      </rPr>
      <t>b</t>
    </r>
    <r>
      <rPr>
        <b/>
        <sz val="10"/>
        <color theme="1"/>
        <rFont val="B Nazanin"/>
        <charset val="178"/>
      </rPr>
      <t>)</t>
    </r>
  </si>
  <si>
    <t>q</t>
  </si>
  <si>
    <t>r</t>
  </si>
  <si>
    <t>k</t>
  </si>
  <si>
    <t>مبلغ پيمان ( C ) با در نظر گرفتن مفاد بند 1-2-7-5 بخشنامه(ريال)</t>
  </si>
  <si>
    <r>
      <t xml:space="preserve">جدول شماره 1 : محاسبه حق الزحمه </t>
    </r>
    <r>
      <rPr>
        <sz val="14"/>
        <color rgb="FFC00000"/>
        <rFont val="B Titr"/>
        <charset val="178"/>
      </rPr>
      <t>خدمات ماهانه حین اجرا</t>
    </r>
    <r>
      <rPr>
        <sz val="14"/>
        <color theme="1"/>
        <rFont val="B Titr"/>
        <charset val="178"/>
      </rPr>
      <t xml:space="preserve"> (فنی و پشتیبانی دفتر مرکزی)</t>
    </r>
  </si>
  <si>
    <r>
      <t xml:space="preserve">جدول شماره 2 :  محاسبه حق‏الزحمه </t>
    </r>
    <r>
      <rPr>
        <b/>
        <sz val="20"/>
        <color rgb="FFC00000"/>
        <rFont val="B Titr"/>
        <charset val="178"/>
      </rPr>
      <t>عوامل فنی و تردد کارگاهی</t>
    </r>
    <r>
      <rPr>
        <b/>
        <sz val="20"/>
        <rFont val="B Titr"/>
        <charset val="178"/>
      </rPr>
      <t xml:space="preserve"> پروژه «احداث ...» </t>
    </r>
  </si>
  <si>
    <t>جدول معرفی رتبه و طبقه شغلی عوامل  (پیوست جدول شماره2)</t>
  </si>
  <si>
    <t>با توجه به خلاصه مالی صورت وضعیت مبلغ هر یک فصول جدول را وارد کنید</t>
  </si>
  <si>
    <t>مبلغ خرید تجهیزات خاص در صورتی که موجود باشد وارد کنید.</t>
  </si>
  <si>
    <t>مبلغ صورت‌وضعیت تجمعی پیمانکار را متناسب با فهرست مورد استفاده و بدون ضرایب پیشنهادی پیمانکار وارد کنید.</t>
  </si>
  <si>
    <t>مبلغ صورت‌وضعیت تجمعی پیمانکار را متناسب با فهرست مورد استفاده وارد کنید.</t>
  </si>
  <si>
    <t>جمع کل مبلغ صورت وضعیت اصلاح شده قبلی با در نظر گرفتن مفاد بند 1-2-7-5 بخشنامه وارد کنید</t>
  </si>
  <si>
    <t>خدمات ارائه شده است</t>
  </si>
  <si>
    <t>خدمات ارائه نشده است</t>
  </si>
  <si>
    <t>دویست و بیست و نه میلیون وششصد و نوزده هزار و نهصد و هفده ریال</t>
  </si>
  <si>
    <t>هشتصد و شش میلیون و هشتصد و پنجاه و یک هزار وهفتصد وسی و دو ریال</t>
  </si>
  <si>
    <t>ا</t>
  </si>
  <si>
    <t>فهرست‌های غیر قابل استفاده در پروژه را hide کنید.</t>
  </si>
  <si>
    <t xml:space="preserve"> زمان و تعداد هر یک از عوامل را  متناسب با رتبه و طبقه شغلی در جدول  وارد نمائید.</t>
  </si>
  <si>
    <t>یك میلیارد وسی و شش میلیون و چهارصد و هفتاد و یک هزار و ششصد و چهل و نه ریال</t>
  </si>
  <si>
    <t>جمع (ریال)</t>
  </si>
  <si>
    <t>مبلغ صورت وضعیت تایید شده پیمانکار (ریال)</t>
  </si>
  <si>
    <t>میلغ صورت وضعیت اصلاح شده با در نظر گرفتن مفاد بند 1-2-7-5  (ریال)</t>
  </si>
  <si>
    <r>
      <t xml:space="preserve">جمع کل مبلغ صورت وضعیت اصلاح شده </t>
    </r>
    <r>
      <rPr>
        <b/>
        <u/>
        <sz val="18"/>
        <color rgb="FFFF0000"/>
        <rFont val="B Nazanin"/>
        <charset val="178"/>
      </rPr>
      <t>فعلی</t>
    </r>
    <r>
      <rPr>
        <b/>
        <sz val="18"/>
        <color theme="1"/>
        <rFont val="B Nazanin"/>
        <charset val="178"/>
      </rPr>
      <t xml:space="preserve"> با در نظر گرفتن مفاد بند 1-2-7-5 بخشنامه (ریال)</t>
    </r>
  </si>
  <si>
    <r>
      <t xml:space="preserve">جمع کل مبلغ صورت وضعیت اصلاح شده </t>
    </r>
    <r>
      <rPr>
        <b/>
        <u/>
        <sz val="18"/>
        <color rgb="FFFF0000"/>
        <rFont val="B Nazanin"/>
        <charset val="178"/>
      </rPr>
      <t>قبلی</t>
    </r>
    <r>
      <rPr>
        <b/>
        <sz val="18"/>
        <color theme="1"/>
        <rFont val="B Nazanin"/>
        <charset val="178"/>
      </rPr>
      <t xml:space="preserve"> با در نظر گرفتن مفاد بند 1-2-7-5 بخشنامه (ریال)</t>
    </r>
  </si>
  <si>
    <t>صفحه 5 از 5</t>
  </si>
  <si>
    <t>صفحه 3 از 5</t>
  </si>
  <si>
    <t>صفحه 2 از 5</t>
  </si>
  <si>
    <t>صفحه  1 از 5</t>
  </si>
  <si>
    <t>این پیوست صرفا جهت اطلاع‌رسانی به کارفرما ارائه می‌شود</t>
  </si>
  <si>
    <t>در این جدول نیازی به نوشتن نام و نام خانوادگی عوامل نمی‌باشد و نام و نام خانوادگی عوامل در پیوست رتبه و طبقه شغلی درج شود.</t>
  </si>
  <si>
    <t>حق الزحمه درخواستی مشاور  موضوع بند 3-1-3 (ریال)</t>
  </si>
  <si>
    <t xml:space="preserve">حق الزحمه درخواستی مشاور موضوع بند 4-3-3 (ریال) </t>
  </si>
  <si>
    <r>
      <t>حق الزحمه ماهانه کارکرد مشاور (</t>
    </r>
    <r>
      <rPr>
        <b/>
        <sz val="12"/>
        <color theme="1"/>
        <rFont val="B Nazanin"/>
        <charset val="178"/>
      </rPr>
      <t>E</t>
    </r>
    <r>
      <rPr>
        <b/>
        <sz val="11"/>
        <color theme="1"/>
        <rFont val="B Nazanin"/>
        <charset val="178"/>
      </rPr>
      <t>a)</t>
    </r>
  </si>
  <si>
    <r>
      <t>حق الزحمه ماهانه کارکرد مشاور (E</t>
    </r>
    <r>
      <rPr>
        <b/>
        <sz val="11"/>
        <color theme="1"/>
        <rFont val="B Nazanin"/>
        <charset val="178"/>
      </rPr>
      <t>b)</t>
    </r>
  </si>
  <si>
    <t>محاسبه و پرداخت حق‏الزحمه خدمات ماهانه حین اجرا (ریال)</t>
  </si>
  <si>
    <t>محاسبه و پرداخت حق‏الزحمه خدمات فنی کارگاهی (ریال)</t>
  </si>
  <si>
    <t xml:space="preserve">جمع هزینه های ماهانه پشتیبانی (ریال): </t>
  </si>
  <si>
    <t>فهرست بهای رشته راه، راه آهن و باند فرودگاه 
(پروژه بهسازی نوع یک و دو)</t>
  </si>
  <si>
    <t>بررسی و تحلیل تغییر شکل‌ها و کنترل رواداری‌های مجاز</t>
  </si>
  <si>
    <t>بررسی صحت کارهای انجام‌شده از لحاظ کمی و کیفی (صورت‌جلسات، برگ‌های آزمایشگاهی، گواهی‌های انجام کار، خدمات بازرسی، کنترل کیفیت و کمیت مصالح وارده به کارگاه)</t>
  </si>
  <si>
    <t>هزینه تعدیل</t>
  </si>
  <si>
    <t>تهیه گزارش تطبیق تصمیمات دستگاه اجرایی و مشاور با اسناد و مدارک پیمان</t>
  </si>
  <si>
    <r>
      <t>راهنمای محاسبه صورت وضعیت تایید شده پیمانکار با در نظر گرفتن مفاد بند 1-2-7- 5 (</t>
    </r>
    <r>
      <rPr>
        <sz val="18"/>
        <color rgb="FFFF0000"/>
        <rFont val="B Titr"/>
        <charset val="178"/>
      </rPr>
      <t>توجه: فصول مربوط به کارهای فولادی در صورت ساخت در کارخانه و فولادی سنگین در صورت ساخت در کارخانه در جدول زیر وارد می‌شوند.)</t>
    </r>
  </si>
  <si>
    <t>صورت حساب  شماره :</t>
  </si>
  <si>
    <t>بررسی و تأیید صورت‌وضعیت‌های ماهانه پیمانکار(اعم از کارکرد ماهانه، تعدیل و غیره) با در نظر گرفتن تمام ضوابط، مقررات و دستورالعمل های مربوط</t>
  </si>
  <si>
    <t>سرپرست عوامل فنی و کارگاهی</t>
  </si>
  <si>
    <t>حق الزحمه سرپرست عوامل فنی کارگاهی با اعمال شبکاری، ضریب منظقه ای، ضریب ویژگی و ضریب تردد</t>
  </si>
  <si>
    <t>ضریب کاهشی تجهیزات خاص</t>
  </si>
  <si>
    <t>مطابق با الگوی بند 1-2-7-5 و توافق طرفین</t>
  </si>
  <si>
    <t>1402/02/20</t>
  </si>
  <si>
    <t>1402/02/21</t>
  </si>
  <si>
    <t>1402/03/14</t>
  </si>
  <si>
    <t>1402/04/01</t>
  </si>
  <si>
    <t>سقف نصاب معاملات کوچک (ریال)</t>
  </si>
  <si>
    <t>مبلغ برآورد خرید تجهیزات خاص (سایر)</t>
  </si>
  <si>
    <t xml:space="preserve">دوره کارکرد : 1403/01/01   تا 1403/01/31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</si>
</sst>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"/>
  </numFmts>
  <fonts count="8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B Nazanin"/>
      <charset val="178"/>
    </font>
    <font>
      <sz val="8"/>
      <name val="Arial"/>
      <family val="2"/>
    </font>
    <font>
      <b/>
      <sz val="16"/>
      <name val="B Nazanin"/>
      <charset val="178"/>
    </font>
    <font>
      <b/>
      <sz val="20"/>
      <name val="B Titr"/>
      <charset val="178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0"/>
      <color theme="5"/>
      <name val="B Nazanin"/>
      <charset val="178"/>
    </font>
    <font>
      <sz val="11"/>
      <color theme="1"/>
      <name val="B Nazanin"/>
      <family val="2"/>
      <charset val="178"/>
    </font>
    <font>
      <b/>
      <sz val="20"/>
      <name val="B Nazanin"/>
      <charset val="178"/>
    </font>
    <font>
      <b/>
      <sz val="20"/>
      <color theme="1"/>
      <name val="B Nazanin"/>
      <charset val="178"/>
    </font>
    <font>
      <b/>
      <sz val="24"/>
      <name val="B Nazanin"/>
      <charset val="178"/>
    </font>
    <font>
      <b/>
      <sz val="28"/>
      <name val="B Nazanin"/>
      <charset val="178"/>
    </font>
    <font>
      <b/>
      <sz val="18"/>
      <name val="B Titr"/>
      <charset val="178"/>
    </font>
    <font>
      <sz val="20"/>
      <color theme="1"/>
      <name val="B Nazanin"/>
      <charset val="178"/>
    </font>
    <font>
      <sz val="20"/>
      <name val="B Titr"/>
      <charset val="178"/>
    </font>
    <font>
      <sz val="22"/>
      <color theme="1"/>
      <name val="B Nazanin"/>
      <charset val="178"/>
    </font>
    <font>
      <sz val="22"/>
      <color theme="1"/>
      <name val="Calibri"/>
      <family val="2"/>
      <scheme val="minor"/>
    </font>
    <font>
      <b/>
      <sz val="22"/>
      <name val="B Nazanin"/>
      <charset val="178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b/>
      <sz val="11"/>
      <name val="B Nazanin"/>
      <charset val="178"/>
    </font>
    <font>
      <sz val="12"/>
      <color theme="1"/>
      <name val="B Titr"/>
      <charset val="178"/>
    </font>
    <font>
      <b/>
      <sz val="12"/>
      <color theme="1"/>
      <name val="B Nazanin"/>
      <charset val="178"/>
    </font>
    <font>
      <sz val="11"/>
      <color theme="1"/>
      <name val="B Titr"/>
      <charset val="178"/>
    </font>
    <font>
      <sz val="14"/>
      <color theme="1"/>
      <name val="B Nazanin"/>
      <charset val="178"/>
    </font>
    <font>
      <sz val="16"/>
      <color theme="1"/>
      <name val="B Nazanin"/>
      <charset val="178"/>
    </font>
    <font>
      <b/>
      <sz val="14"/>
      <color theme="1"/>
      <name val="B Nazanin"/>
      <charset val="178"/>
    </font>
    <font>
      <sz val="10"/>
      <color theme="1"/>
      <name val="B Titr"/>
      <charset val="178"/>
    </font>
    <font>
      <sz val="14"/>
      <color theme="1"/>
      <name val="B Titr"/>
      <charset val="178"/>
    </font>
    <font>
      <b/>
      <sz val="25"/>
      <name val="B Nazanin"/>
      <charset val="178"/>
    </font>
    <font>
      <b/>
      <sz val="9"/>
      <color theme="1"/>
      <name val="B Nazanin"/>
      <charset val="178"/>
    </font>
    <font>
      <sz val="9"/>
      <color theme="1"/>
      <name val="B Titr"/>
      <charset val="178"/>
    </font>
    <font>
      <b/>
      <sz val="18"/>
      <name val="B Nazanin"/>
      <charset val="178"/>
    </font>
    <font>
      <b/>
      <sz val="12"/>
      <color theme="1"/>
      <name val="B Mitra"/>
      <charset val="178"/>
    </font>
    <font>
      <b/>
      <sz val="12"/>
      <color rgb="FF000000"/>
      <name val="B Mitra"/>
      <charset val="178"/>
    </font>
    <font>
      <sz val="12"/>
      <color theme="1"/>
      <name val="B Mitra"/>
      <charset val="178"/>
    </font>
    <font>
      <b/>
      <sz val="11"/>
      <color rgb="FF000000"/>
      <name val="B Mitra"/>
      <charset val="178"/>
    </font>
    <font>
      <sz val="12"/>
      <color rgb="FF000000"/>
      <name val="Times New Roman"/>
      <family val="1"/>
    </font>
    <font>
      <sz val="12"/>
      <color rgb="FF000000"/>
      <name val="B Mitra"/>
      <charset val="178"/>
    </font>
    <font>
      <sz val="11"/>
      <color rgb="FF000000"/>
      <name val="B Mitra"/>
      <charset val="178"/>
    </font>
    <font>
      <b/>
      <sz val="26"/>
      <name val="B Titr"/>
      <charset val="178"/>
    </font>
    <font>
      <b/>
      <sz val="24"/>
      <color theme="1"/>
      <name val="B Nazanin"/>
      <charset val="178"/>
    </font>
    <font>
      <b/>
      <sz val="22"/>
      <name val="B Titr"/>
      <charset val="178"/>
    </font>
    <font>
      <sz val="14"/>
      <color rgb="FFC00000"/>
      <name val="B Titr"/>
      <charset val="178"/>
    </font>
    <font>
      <b/>
      <sz val="20"/>
      <color rgb="FFC00000"/>
      <name val="B Titr"/>
      <charset val="178"/>
    </font>
    <font>
      <sz val="22"/>
      <name val="B Titr"/>
      <charset val="178"/>
    </font>
    <font>
      <b/>
      <sz val="24"/>
      <color rgb="FFFF0000"/>
      <name val="B Nazanin"/>
      <charset val="178"/>
    </font>
    <font>
      <sz val="10"/>
      <color theme="1"/>
      <name val="B Nazanin"/>
      <charset val="178"/>
    </font>
    <font>
      <sz val="10"/>
      <color theme="1"/>
      <name val="B Mitra"/>
      <charset val="178"/>
    </font>
    <font>
      <sz val="10"/>
      <color rgb="FF000000"/>
      <name val="Times New Roman"/>
      <family val="1"/>
    </font>
    <font>
      <b/>
      <sz val="36"/>
      <color rgb="FFFFFF00"/>
      <name val="B Titr"/>
      <charset val="178"/>
    </font>
    <font>
      <b/>
      <sz val="12"/>
      <color theme="5" tint="-0.499984740745262"/>
      <name val="B Nazanin"/>
      <charset val="178"/>
    </font>
    <font>
      <b/>
      <sz val="36"/>
      <color rgb="FFFF0000"/>
      <name val="B Titr"/>
      <charset val="178"/>
    </font>
    <font>
      <b/>
      <sz val="36"/>
      <name val="B Titr"/>
      <charset val="178"/>
    </font>
    <font>
      <b/>
      <sz val="24"/>
      <color rgb="FFFFFF00"/>
      <name val="B Nazanin"/>
      <charset val="178"/>
    </font>
    <font>
      <sz val="26"/>
      <name val="B Titr"/>
      <charset val="178"/>
    </font>
    <font>
      <b/>
      <sz val="12"/>
      <name val="B Mitra"/>
      <charset val="178"/>
    </font>
    <font>
      <b/>
      <sz val="8"/>
      <name val="B Titr"/>
      <charset val="178"/>
    </font>
    <font>
      <b/>
      <sz val="11"/>
      <color rgb="FFFFFF00"/>
      <name val="B Titr"/>
      <charset val="178"/>
    </font>
    <font>
      <b/>
      <sz val="9"/>
      <color rgb="FFFFFF00"/>
      <name val="B Titr"/>
      <charset val="178"/>
    </font>
    <font>
      <b/>
      <sz val="18"/>
      <color theme="1"/>
      <name val="B Nazanin"/>
      <charset val="178"/>
    </font>
    <font>
      <sz val="18"/>
      <color theme="1"/>
      <name val="B Titr"/>
      <charset val="178"/>
    </font>
    <font>
      <b/>
      <u/>
      <sz val="18"/>
      <color rgb="FFFF0000"/>
      <name val="B Nazanin"/>
      <charset val="178"/>
    </font>
    <font>
      <b/>
      <sz val="8"/>
      <color theme="1"/>
      <name val="B Nazanin"/>
      <charset val="178"/>
    </font>
    <font>
      <b/>
      <i/>
      <sz val="18"/>
      <color rgb="FFFFFF00"/>
      <name val="B Nazanin"/>
      <charset val="178"/>
    </font>
    <font>
      <sz val="18"/>
      <color rgb="FFFFFF00"/>
      <name val="B Nazanin"/>
      <charset val="178"/>
    </font>
    <font>
      <b/>
      <sz val="18"/>
      <color rgb="FFFFFF00"/>
      <name val="B Nazanin"/>
      <charset val="178"/>
    </font>
    <font>
      <b/>
      <sz val="12"/>
      <color rgb="FF000000"/>
      <name val="Times New Roman"/>
      <family val="1"/>
    </font>
    <font>
      <b/>
      <sz val="20"/>
      <color rgb="FFFF0000"/>
      <name val="B Titr"/>
      <charset val="178"/>
    </font>
    <font>
      <b/>
      <sz val="20"/>
      <color rgb="FFFFFF00"/>
      <name val="B Titr"/>
      <charset val="178"/>
    </font>
    <font>
      <b/>
      <sz val="24"/>
      <color rgb="FFFFFF00"/>
      <name val="B Titr"/>
      <charset val="178"/>
    </font>
    <font>
      <sz val="18"/>
      <color rgb="FFFF0000"/>
      <name val="B Titr"/>
      <charset val="178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lightUp">
        <bgColor theme="2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465926084170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11" fillId="0" borderId="0"/>
    <xf numFmtId="0" fontId="14" fillId="0" borderId="0"/>
    <xf numFmtId="0" fontId="12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2" fillId="0" borderId="0"/>
    <xf numFmtId="0" fontId="1" fillId="0" borderId="0"/>
  </cellStyleXfs>
  <cellXfs count="644">
    <xf numFmtId="0" fontId="0" fillId="0" borderId="0" xfId="0"/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readingOrder="2"/>
    </xf>
    <xf numFmtId="0" fontId="0" fillId="3" borderId="0" xfId="0" applyFill="1"/>
    <xf numFmtId="0" fontId="7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22" fillId="2" borderId="7" xfId="0" applyFont="1" applyFill="1" applyBorder="1" applyAlignment="1">
      <alignment horizontal="center" vertical="center" wrapText="1" readingOrder="2"/>
    </xf>
    <xf numFmtId="0" fontId="22" fillId="2" borderId="10" xfId="0" applyFont="1" applyFill="1" applyBorder="1" applyAlignment="1">
      <alignment horizontal="center" vertical="center" wrapText="1" readingOrder="2"/>
    </xf>
    <xf numFmtId="0" fontId="22" fillId="2" borderId="9" xfId="0" applyFont="1" applyFill="1" applyBorder="1" applyAlignment="1">
      <alignment horizontal="center" vertical="center" wrapText="1" readingOrder="2"/>
    </xf>
    <xf numFmtId="0" fontId="6" fillId="0" borderId="0" xfId="4"/>
    <xf numFmtId="0" fontId="6" fillId="0" borderId="0" xfId="4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textRotation="90" wrapText="1"/>
    </xf>
    <xf numFmtId="0" fontId="16" fillId="3" borderId="14" xfId="0" applyFont="1" applyFill="1" applyBorder="1" applyAlignment="1">
      <alignment horizontal="center" vertical="center"/>
    </xf>
    <xf numFmtId="0" fontId="16" fillId="3" borderId="44" xfId="0" applyFont="1" applyFill="1" applyBorder="1" applyAlignment="1">
      <alignment horizontal="center" vertical="center"/>
    </xf>
    <xf numFmtId="0" fontId="6" fillId="4" borderId="0" xfId="4" applyFill="1" applyAlignment="1">
      <alignment horizontal="center" vertical="center"/>
    </xf>
    <xf numFmtId="0" fontId="25" fillId="0" borderId="0" xfId="4" applyFont="1" applyAlignment="1">
      <alignment vertical="center"/>
    </xf>
    <xf numFmtId="0" fontId="25" fillId="0" borderId="0" xfId="4" applyFont="1"/>
    <xf numFmtId="0" fontId="30" fillId="0" borderId="0" xfId="4" applyFont="1" applyAlignment="1">
      <alignment vertical="center"/>
    </xf>
    <xf numFmtId="0" fontId="17" fillId="0" borderId="20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25" fillId="0" borderId="0" xfId="11" applyFont="1"/>
    <xf numFmtId="0" fontId="25" fillId="0" borderId="0" xfId="11" applyFont="1" applyAlignment="1">
      <alignment wrapText="1"/>
    </xf>
    <xf numFmtId="0" fontId="25" fillId="4" borderId="0" xfId="11" applyFont="1" applyFill="1"/>
    <xf numFmtId="0" fontId="27" fillId="3" borderId="0" xfId="11" applyFont="1" applyFill="1"/>
    <xf numFmtId="0" fontId="27" fillId="0" borderId="0" xfId="11" applyFont="1"/>
    <xf numFmtId="0" fontId="25" fillId="3" borderId="0" xfId="11" applyFont="1" applyFill="1"/>
    <xf numFmtId="0" fontId="27" fillId="4" borderId="0" xfId="11" applyFont="1" applyFill="1"/>
    <xf numFmtId="0" fontId="25" fillId="0" borderId="0" xfId="11" applyFont="1" applyAlignment="1">
      <alignment horizontal="center"/>
    </xf>
    <xf numFmtId="0" fontId="27" fillId="3" borderId="5" xfId="4" applyFont="1" applyFill="1" applyBorder="1" applyAlignment="1" applyProtection="1">
      <alignment horizontal="center" vertical="center" shrinkToFit="1"/>
      <protection hidden="1"/>
    </xf>
    <xf numFmtId="0" fontId="29" fillId="3" borderId="9" xfId="4" applyFont="1" applyFill="1" applyBorder="1" applyAlignment="1" applyProtection="1">
      <alignment horizontal="center" vertical="center" shrinkToFit="1" readingOrder="2"/>
      <protection hidden="1"/>
    </xf>
    <xf numFmtId="0" fontId="28" fillId="2" borderId="9" xfId="4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 readingOrder="2"/>
    </xf>
    <xf numFmtId="0" fontId="17" fillId="2" borderId="7" xfId="0" applyFont="1" applyFill="1" applyBorder="1" applyAlignment="1">
      <alignment horizontal="center" vertical="center" wrapText="1" readingOrder="2"/>
    </xf>
    <xf numFmtId="0" fontId="56" fillId="0" borderId="0" xfId="11" applyFont="1" applyAlignment="1">
      <alignment horizontal="center"/>
    </xf>
    <xf numFmtId="0" fontId="17" fillId="0" borderId="41" xfId="0" applyFont="1" applyBorder="1" applyAlignment="1">
      <alignment horizontal="center" vertical="center" wrapText="1"/>
    </xf>
    <xf numFmtId="0" fontId="59" fillId="0" borderId="0" xfId="0" applyFont="1" applyAlignment="1">
      <alignment vertical="center"/>
    </xf>
    <xf numFmtId="0" fontId="60" fillId="0" borderId="0" xfId="11" applyFont="1" applyAlignment="1">
      <alignment vertical="center"/>
    </xf>
    <xf numFmtId="0" fontId="63" fillId="0" borderId="0" xfId="0" applyFont="1" applyAlignment="1">
      <alignment horizontal="center" vertical="center" textRotation="90" wrapText="1"/>
    </xf>
    <xf numFmtId="0" fontId="63" fillId="0" borderId="0" xfId="4" applyFont="1" applyAlignment="1">
      <alignment horizontal="right" vertical="center"/>
    </xf>
    <xf numFmtId="0" fontId="59" fillId="0" borderId="0" xfId="0" applyFont="1" applyAlignment="1">
      <alignment horizontal="right" vertical="center" readingOrder="2"/>
    </xf>
    <xf numFmtId="0" fontId="17" fillId="2" borderId="9" xfId="0" applyFont="1" applyFill="1" applyBorder="1" applyAlignment="1">
      <alignment horizontal="center" vertical="center" wrapText="1" readingOrder="2"/>
    </xf>
    <xf numFmtId="0" fontId="17" fillId="3" borderId="10" xfId="0" applyFont="1" applyFill="1" applyBorder="1" applyAlignment="1">
      <alignment horizontal="center" vertical="center" wrapText="1" readingOrder="2"/>
    </xf>
    <xf numFmtId="0" fontId="43" fillId="7" borderId="9" xfId="0" applyFont="1" applyFill="1" applyBorder="1" applyAlignment="1">
      <alignment horizontal="center" vertical="center" wrapText="1"/>
    </xf>
    <xf numFmtId="0" fontId="43" fillId="7" borderId="5" xfId="0" applyFont="1" applyFill="1" applyBorder="1" applyAlignment="1">
      <alignment horizontal="right" vertical="center" wrapText="1"/>
    </xf>
    <xf numFmtId="0" fontId="44" fillId="8" borderId="5" xfId="0" applyFont="1" applyFill="1" applyBorder="1" applyAlignment="1">
      <alignment horizontal="center" vertical="center" wrapText="1" readingOrder="2"/>
    </xf>
    <xf numFmtId="0" fontId="47" fillId="0" borderId="1" xfId="0" applyFont="1" applyBorder="1" applyAlignment="1">
      <alignment horizontal="right" vertical="center" wrapText="1"/>
    </xf>
    <xf numFmtId="0" fontId="44" fillId="0" borderId="1" xfId="0" applyFont="1" applyBorder="1" applyAlignment="1">
      <alignment horizontal="center" vertical="center" wrapText="1" readingOrder="2"/>
    </xf>
    <xf numFmtId="3" fontId="47" fillId="0" borderId="1" xfId="0" applyNumberFormat="1" applyFont="1" applyBorder="1" applyAlignment="1">
      <alignment horizontal="center" vertical="center" wrapText="1"/>
    </xf>
    <xf numFmtId="3" fontId="47" fillId="0" borderId="1" xfId="0" applyNumberFormat="1" applyFont="1" applyBorder="1" applyAlignment="1">
      <alignment horizontal="center" vertical="center" wrapText="1" readingOrder="2"/>
    </xf>
    <xf numFmtId="0" fontId="48" fillId="0" borderId="7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right" vertical="center" wrapText="1"/>
    </xf>
    <xf numFmtId="0" fontId="44" fillId="0" borderId="3" xfId="0" applyFont="1" applyBorder="1" applyAlignment="1">
      <alignment horizontal="center" vertical="center" wrapText="1"/>
    </xf>
    <xf numFmtId="3" fontId="47" fillId="0" borderId="3" xfId="0" applyNumberFormat="1" applyFont="1" applyBorder="1" applyAlignment="1">
      <alignment horizontal="center" vertical="center" wrapText="1" readingOrder="2"/>
    </xf>
    <xf numFmtId="0" fontId="47" fillId="0" borderId="7" xfId="0" applyFont="1" applyBorder="1" applyAlignment="1">
      <alignment horizontal="center" vertical="center" wrapText="1" readingOrder="2"/>
    </xf>
    <xf numFmtId="0" fontId="47" fillId="0" borderId="1" xfId="0" applyFont="1" applyBorder="1" applyAlignment="1">
      <alignment horizontal="center" vertical="center" wrapText="1" readingOrder="2"/>
    </xf>
    <xf numFmtId="0" fontId="47" fillId="0" borderId="10" xfId="0" applyFont="1" applyBorder="1" applyAlignment="1">
      <alignment horizontal="center" vertical="center" wrapText="1" readingOrder="2"/>
    </xf>
    <xf numFmtId="0" fontId="47" fillId="0" borderId="3" xfId="0" applyFont="1" applyBorder="1" applyAlignment="1">
      <alignment horizontal="center" vertical="center" wrapText="1" readingOrder="2"/>
    </xf>
    <xf numFmtId="0" fontId="46" fillId="8" borderId="34" xfId="0" applyFont="1" applyFill="1" applyBorder="1" applyAlignment="1">
      <alignment horizontal="center" vertical="center" wrapText="1"/>
    </xf>
    <xf numFmtId="0" fontId="46" fillId="8" borderId="5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right" vertical="center" wrapText="1"/>
    </xf>
    <xf numFmtId="0" fontId="47" fillId="0" borderId="10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 readingOrder="2"/>
    </xf>
    <xf numFmtId="0" fontId="45" fillId="7" borderId="5" xfId="0" applyFont="1" applyFill="1" applyBorder="1" applyAlignment="1">
      <alignment horizontal="right" vertical="center" wrapText="1"/>
    </xf>
    <xf numFmtId="0" fontId="47" fillId="6" borderId="3" xfId="0" applyFont="1" applyFill="1" applyBorder="1" applyAlignment="1">
      <alignment horizontal="right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8" borderId="5" xfId="0" applyFont="1" applyFill="1" applyBorder="1" applyAlignment="1">
      <alignment horizontal="center" vertical="center" wrapText="1"/>
    </xf>
    <xf numFmtId="0" fontId="47" fillId="8" borderId="5" xfId="0" applyFont="1" applyFill="1" applyBorder="1" applyAlignment="1">
      <alignment horizontal="center" vertical="center" wrapText="1" readingOrder="2"/>
    </xf>
    <xf numFmtId="0" fontId="47" fillId="0" borderId="7" xfId="0" applyFont="1" applyBorder="1" applyAlignment="1">
      <alignment horizontal="center" vertical="center" wrapText="1"/>
    </xf>
    <xf numFmtId="3" fontId="47" fillId="0" borderId="32" xfId="0" applyNumberFormat="1" applyFont="1" applyBorder="1" applyAlignment="1">
      <alignment horizontal="center" vertical="center" wrapText="1" readingOrder="2"/>
    </xf>
    <xf numFmtId="0" fontId="51" fillId="2" borderId="0" xfId="0" applyFont="1" applyFill="1" applyAlignment="1">
      <alignment horizontal="right" vertical="center"/>
    </xf>
    <xf numFmtId="0" fontId="5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47" fillId="7" borderId="9" xfId="0" applyFont="1" applyFill="1" applyBorder="1" applyAlignment="1">
      <alignment horizontal="center" vertical="center" wrapText="1" readingOrder="2"/>
    </xf>
    <xf numFmtId="2" fontId="46" fillId="8" borderId="5" xfId="0" applyNumberFormat="1" applyFont="1" applyFill="1" applyBorder="1" applyAlignment="1">
      <alignment horizontal="right" vertical="center" wrapText="1" readingOrder="2"/>
    </xf>
    <xf numFmtId="0" fontId="45" fillId="7" borderId="9" xfId="0" applyFont="1" applyFill="1" applyBorder="1" applyAlignment="1">
      <alignment horizontal="center" vertical="center" wrapText="1"/>
    </xf>
    <xf numFmtId="0" fontId="58" fillId="8" borderId="12" xfId="11" applyFont="1" applyFill="1" applyBorder="1" applyAlignment="1">
      <alignment horizontal="center" vertical="center" wrapText="1"/>
    </xf>
    <xf numFmtId="0" fontId="43" fillId="7" borderId="30" xfId="0" applyFont="1" applyFill="1" applyBorder="1" applyAlignment="1">
      <alignment horizontal="center" vertical="center" wrapText="1"/>
    </xf>
    <xf numFmtId="0" fontId="43" fillId="7" borderId="11" xfId="0" applyFont="1" applyFill="1" applyBorder="1" applyAlignment="1">
      <alignment horizontal="right" vertical="center" wrapText="1"/>
    </xf>
    <xf numFmtId="0" fontId="44" fillId="8" borderId="11" xfId="0" applyFont="1" applyFill="1" applyBorder="1" applyAlignment="1">
      <alignment horizontal="center" vertical="center" wrapText="1" readingOrder="2"/>
    </xf>
    <xf numFmtId="0" fontId="57" fillId="8" borderId="16" xfId="11" applyFont="1" applyFill="1" applyBorder="1" applyAlignment="1">
      <alignment horizontal="center" vertical="center" wrapText="1" readingOrder="2"/>
    </xf>
    <xf numFmtId="0" fontId="42" fillId="5" borderId="51" xfId="11" applyFont="1" applyFill="1" applyBorder="1" applyAlignment="1">
      <alignment horizontal="center" vertical="center" wrapText="1" readingOrder="2"/>
    </xf>
    <xf numFmtId="0" fontId="65" fillId="5" borderId="59" xfId="11" applyFont="1" applyFill="1" applyBorder="1" applyAlignment="1">
      <alignment horizontal="center" vertical="center" wrapText="1" readingOrder="2"/>
    </xf>
    <xf numFmtId="0" fontId="12" fillId="0" borderId="0" xfId="3"/>
    <xf numFmtId="0" fontId="27" fillId="2" borderId="7" xfId="13" applyFont="1" applyFill="1" applyBorder="1" applyAlignment="1">
      <alignment horizontal="center" vertical="center"/>
    </xf>
    <xf numFmtId="1" fontId="27" fillId="2" borderId="1" xfId="13" applyNumberFormat="1" applyFont="1" applyFill="1" applyBorder="1" applyAlignment="1">
      <alignment horizontal="center" vertical="center"/>
    </xf>
    <xf numFmtId="0" fontId="27" fillId="2" borderId="10" xfId="13" applyFont="1" applyFill="1" applyBorder="1" applyAlignment="1">
      <alignment horizontal="center" vertical="center"/>
    </xf>
    <xf numFmtId="1" fontId="27" fillId="2" borderId="3" xfId="13" applyNumberFormat="1" applyFont="1" applyFill="1" applyBorder="1" applyAlignment="1">
      <alignment horizontal="center" vertical="center"/>
    </xf>
    <xf numFmtId="0" fontId="27" fillId="2" borderId="1" xfId="13" applyFont="1" applyFill="1" applyBorder="1" applyAlignment="1">
      <alignment horizontal="center" vertical="center"/>
    </xf>
    <xf numFmtId="1" fontId="28" fillId="2" borderId="1" xfId="13" applyNumberFormat="1" applyFont="1" applyFill="1" applyBorder="1" applyAlignment="1">
      <alignment horizontal="center" vertical="center"/>
    </xf>
    <xf numFmtId="0" fontId="27" fillId="2" borderId="3" xfId="13" applyFont="1" applyFill="1" applyBorder="1" applyAlignment="1">
      <alignment horizontal="center" vertical="center"/>
    </xf>
    <xf numFmtId="1" fontId="28" fillId="2" borderId="3" xfId="13" applyNumberFormat="1" applyFont="1" applyFill="1" applyBorder="1" applyAlignment="1">
      <alignment horizontal="center" vertical="center"/>
    </xf>
    <xf numFmtId="0" fontId="27" fillId="2" borderId="5" xfId="13" applyFont="1" applyFill="1" applyBorder="1" applyAlignment="1">
      <alignment horizontal="center" vertical="center" wrapText="1"/>
    </xf>
    <xf numFmtId="0" fontId="27" fillId="2" borderId="9" xfId="13" applyFont="1" applyFill="1" applyBorder="1" applyAlignment="1">
      <alignment horizontal="center" vertical="center" textRotation="90" wrapText="1"/>
    </xf>
    <xf numFmtId="0" fontId="27" fillId="2" borderId="12" xfId="13" applyFont="1" applyFill="1" applyBorder="1" applyAlignment="1">
      <alignment horizontal="center" vertical="center" wrapText="1"/>
    </xf>
    <xf numFmtId="1" fontId="27" fillId="2" borderId="2" xfId="13" applyNumberFormat="1" applyFont="1" applyFill="1" applyBorder="1" applyAlignment="1">
      <alignment horizontal="center" vertical="center"/>
    </xf>
    <xf numFmtId="1" fontId="27" fillId="2" borderId="4" xfId="13" applyNumberFormat="1" applyFont="1" applyFill="1" applyBorder="1" applyAlignment="1">
      <alignment horizontal="center" vertical="center"/>
    </xf>
    <xf numFmtId="1" fontId="12" fillId="0" borderId="0" xfId="3" applyNumberFormat="1"/>
    <xf numFmtId="0" fontId="67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25" fillId="0" borderId="0" xfId="14" applyFont="1"/>
    <xf numFmtId="0" fontId="25" fillId="16" borderId="0" xfId="14" applyFont="1" applyFill="1"/>
    <xf numFmtId="0" fontId="25" fillId="17" borderId="0" xfId="14" applyFont="1" applyFill="1"/>
    <xf numFmtId="0" fontId="25" fillId="4" borderId="0" xfId="14" applyFont="1" applyFill="1"/>
    <xf numFmtId="0" fontId="25" fillId="15" borderId="0" xfId="14" applyFont="1" applyFill="1"/>
    <xf numFmtId="0" fontId="25" fillId="12" borderId="0" xfId="14" applyFont="1" applyFill="1"/>
    <xf numFmtId="0" fontId="25" fillId="15" borderId="0" xfId="14" applyFont="1" applyFill="1" applyAlignment="1">
      <alignment horizontal="center" vertical="center"/>
    </xf>
    <xf numFmtId="3" fontId="25" fillId="11" borderId="3" xfId="14" applyNumberFormat="1" applyFont="1" applyFill="1" applyBorder="1" applyAlignment="1">
      <alignment horizontal="center" vertical="center"/>
    </xf>
    <xf numFmtId="3" fontId="25" fillId="13" borderId="3" xfId="14" applyNumberFormat="1" applyFont="1" applyFill="1" applyBorder="1" applyAlignment="1">
      <alignment horizontal="center" vertical="center"/>
    </xf>
    <xf numFmtId="3" fontId="25" fillId="18" borderId="3" xfId="14" applyNumberFormat="1" applyFont="1" applyFill="1" applyBorder="1" applyAlignment="1">
      <alignment horizontal="center" vertical="center"/>
    </xf>
    <xf numFmtId="3" fontId="25" fillId="3" borderId="3" xfId="14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2"/>
    </xf>
    <xf numFmtId="0" fontId="17" fillId="2" borderId="1" xfId="0" applyFont="1" applyFill="1" applyBorder="1" applyAlignment="1">
      <alignment horizontal="center" vertical="center" wrapText="1" readingOrder="2"/>
    </xf>
    <xf numFmtId="0" fontId="17" fillId="2" borderId="5" xfId="0" applyFont="1" applyFill="1" applyBorder="1" applyAlignment="1">
      <alignment horizontal="center" vertical="center" wrapText="1" readingOrder="2"/>
    </xf>
    <xf numFmtId="0" fontId="17" fillId="2" borderId="5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 wrapText="1"/>
    </xf>
    <xf numFmtId="3" fontId="33" fillId="2" borderId="3" xfId="4" applyNumberFormat="1" applyFont="1" applyFill="1" applyBorder="1" applyAlignment="1">
      <alignment horizontal="center" vertical="center"/>
    </xf>
    <xf numFmtId="3" fontId="26" fillId="16" borderId="5" xfId="14" applyNumberFormat="1" applyFont="1" applyFill="1" applyBorder="1" applyAlignment="1">
      <alignment horizontal="center" vertical="center"/>
    </xf>
    <xf numFmtId="3" fontId="26" fillId="16" borderId="12" xfId="14" applyNumberFormat="1" applyFont="1" applyFill="1" applyBorder="1" applyAlignment="1">
      <alignment horizontal="center" vertical="center"/>
    </xf>
    <xf numFmtId="3" fontId="26" fillId="9" borderId="5" xfId="14" applyNumberFormat="1" applyFont="1" applyFill="1" applyBorder="1" applyAlignment="1">
      <alignment horizontal="center" vertical="center"/>
    </xf>
    <xf numFmtId="3" fontId="26" fillId="11" borderId="5" xfId="14" applyNumberFormat="1" applyFont="1" applyFill="1" applyBorder="1" applyAlignment="1">
      <alignment horizontal="center" vertical="center"/>
    </xf>
    <xf numFmtId="3" fontId="26" fillId="18" borderId="5" xfId="14" applyNumberFormat="1" applyFont="1" applyFill="1" applyBorder="1" applyAlignment="1">
      <alignment horizontal="center" vertical="center"/>
    </xf>
    <xf numFmtId="3" fontId="26" fillId="3" borderId="5" xfId="14" applyNumberFormat="1" applyFont="1" applyFill="1" applyBorder="1" applyAlignment="1">
      <alignment horizontal="center" vertical="center"/>
    </xf>
    <xf numFmtId="2" fontId="44" fillId="8" borderId="11" xfId="0" applyNumberFormat="1" applyFont="1" applyFill="1" applyBorder="1" applyAlignment="1">
      <alignment horizontal="center" vertical="center" wrapText="1" readingOrder="2"/>
    </xf>
    <xf numFmtId="2" fontId="46" fillId="8" borderId="5" xfId="0" applyNumberFormat="1" applyFont="1" applyFill="1" applyBorder="1" applyAlignment="1">
      <alignment horizontal="center" vertical="center" wrapText="1"/>
    </xf>
    <xf numFmtId="2" fontId="47" fillId="0" borderId="1" xfId="0" applyNumberFormat="1" applyFont="1" applyBorder="1" applyAlignment="1">
      <alignment horizontal="center" vertical="center" wrapText="1"/>
    </xf>
    <xf numFmtId="2" fontId="47" fillId="0" borderId="3" xfId="0" applyNumberFormat="1" applyFont="1" applyBorder="1" applyAlignment="1">
      <alignment horizontal="center" vertical="center" wrapText="1"/>
    </xf>
    <xf numFmtId="2" fontId="47" fillId="0" borderId="1" xfId="0" applyNumberFormat="1" applyFont="1" applyBorder="1" applyAlignment="1">
      <alignment horizontal="center" vertical="center" wrapText="1" readingOrder="2"/>
    </xf>
    <xf numFmtId="2" fontId="47" fillId="0" borderId="3" xfId="0" applyNumberFormat="1" applyFont="1" applyBorder="1" applyAlignment="1">
      <alignment horizontal="center" vertical="center" wrapText="1" readingOrder="2"/>
    </xf>
    <xf numFmtId="2" fontId="47" fillId="0" borderId="32" xfId="0" applyNumberFormat="1" applyFont="1" applyBorder="1" applyAlignment="1">
      <alignment horizontal="center" vertical="center" wrapText="1" readingOrder="2"/>
    </xf>
    <xf numFmtId="0" fontId="28" fillId="2" borderId="5" xfId="13" applyFont="1" applyFill="1" applyBorder="1" applyAlignment="1">
      <alignment horizontal="center" vertical="center" wrapText="1"/>
    </xf>
    <xf numFmtId="0" fontId="27" fillId="2" borderId="1" xfId="4" applyFont="1" applyFill="1" applyBorder="1" applyAlignment="1" applyProtection="1">
      <alignment horizontal="center" vertical="center" wrapText="1" shrinkToFit="1"/>
      <protection hidden="1"/>
    </xf>
    <xf numFmtId="0" fontId="28" fillId="2" borderId="1" xfId="4" applyFont="1" applyFill="1" applyBorder="1" applyAlignment="1">
      <alignment horizontal="center" vertical="center" wrapText="1"/>
    </xf>
    <xf numFmtId="0" fontId="28" fillId="2" borderId="2" xfId="4" applyFont="1" applyFill="1" applyBorder="1" applyAlignment="1">
      <alignment horizontal="center" vertical="center" wrapText="1"/>
    </xf>
    <xf numFmtId="3" fontId="29" fillId="2" borderId="3" xfId="4" applyNumberFormat="1" applyFont="1" applyFill="1" applyBorder="1" applyAlignment="1" applyProtection="1">
      <alignment horizontal="center" vertical="center" shrinkToFit="1" readingOrder="2"/>
      <protection hidden="1"/>
    </xf>
    <xf numFmtId="0" fontId="28" fillId="2" borderId="5" xfId="4" applyFont="1" applyFill="1" applyBorder="1" applyAlignment="1">
      <alignment horizontal="center" vertical="center" wrapText="1"/>
    </xf>
    <xf numFmtId="10" fontId="33" fillId="2" borderId="3" xfId="4" applyNumberFormat="1" applyFont="1" applyFill="1" applyBorder="1" applyAlignment="1">
      <alignment horizontal="center" vertical="center"/>
    </xf>
    <xf numFmtId="0" fontId="29" fillId="3" borderId="12" xfId="4" applyFont="1" applyFill="1" applyBorder="1" applyAlignment="1" applyProtection="1">
      <alignment horizontal="center" vertical="center" shrinkToFit="1" readingOrder="2"/>
      <protection hidden="1"/>
    </xf>
    <xf numFmtId="0" fontId="27" fillId="2" borderId="7" xfId="4" applyFont="1" applyFill="1" applyBorder="1" applyAlignment="1" applyProtection="1">
      <alignment horizontal="center" vertical="center" wrapText="1" shrinkToFit="1"/>
      <protection hidden="1"/>
    </xf>
    <xf numFmtId="3" fontId="27" fillId="2" borderId="10" xfId="4" applyNumberFormat="1" applyFont="1" applyFill="1" applyBorder="1" applyAlignment="1" applyProtection="1">
      <alignment horizontal="center" vertical="center" shrinkToFit="1"/>
      <protection hidden="1"/>
    </xf>
    <xf numFmtId="4" fontId="29" fillId="2" borderId="3" xfId="4" applyNumberFormat="1" applyFont="1" applyFill="1" applyBorder="1" applyAlignment="1" applyProtection="1">
      <alignment horizontal="center" vertical="center" shrinkToFit="1" readingOrder="2"/>
      <protection hidden="1"/>
    </xf>
    <xf numFmtId="0" fontId="28" fillId="9" borderId="12" xfId="4" applyFont="1" applyFill="1" applyBorder="1" applyAlignment="1">
      <alignment horizontal="center" vertical="center" wrapText="1"/>
    </xf>
    <xf numFmtId="3" fontId="33" fillId="9" borderId="4" xfId="4" applyNumberFormat="1" applyFont="1" applyFill="1" applyBorder="1" applyAlignment="1">
      <alignment horizontal="center" vertical="center"/>
    </xf>
    <xf numFmtId="0" fontId="69" fillId="2" borderId="0" xfId="14" applyFont="1" applyFill="1" applyAlignment="1">
      <alignment horizontal="center" vertical="center"/>
    </xf>
    <xf numFmtId="0" fontId="73" fillId="2" borderId="0" xfId="14" applyFont="1" applyFill="1" applyAlignment="1">
      <alignment horizontal="center" vertical="top" wrapText="1"/>
    </xf>
    <xf numFmtId="0" fontId="74" fillId="16" borderId="0" xfId="14" applyFont="1" applyFill="1" applyAlignment="1">
      <alignment vertical="center"/>
    </xf>
    <xf numFmtId="0" fontId="75" fillId="2" borderId="0" xfId="14" applyFont="1" applyFill="1" applyAlignment="1">
      <alignment vertical="center"/>
    </xf>
    <xf numFmtId="3" fontId="25" fillId="16" borderId="37" xfId="14" applyNumberFormat="1" applyFont="1" applyFill="1" applyBorder="1" applyAlignment="1">
      <alignment horizontal="center" vertical="center"/>
    </xf>
    <xf numFmtId="0" fontId="47" fillId="8" borderId="12" xfId="0" applyFont="1" applyFill="1" applyBorder="1" applyAlignment="1">
      <alignment horizontal="center" vertical="center" wrapText="1" readingOrder="2"/>
    </xf>
    <xf numFmtId="0" fontId="47" fillId="8" borderId="3" xfId="0" applyFont="1" applyFill="1" applyBorder="1" applyAlignment="1">
      <alignment horizontal="center" vertical="center" wrapText="1" readingOrder="2"/>
    </xf>
    <xf numFmtId="0" fontId="47" fillId="8" borderId="4" xfId="0" applyFont="1" applyFill="1" applyBorder="1" applyAlignment="1">
      <alignment horizontal="center" vertical="center" wrapText="1" readingOrder="2"/>
    </xf>
    <xf numFmtId="3" fontId="25" fillId="9" borderId="32" xfId="14" applyNumberFormat="1" applyFont="1" applyFill="1" applyBorder="1" applyAlignment="1">
      <alignment horizontal="center" vertical="center"/>
    </xf>
    <xf numFmtId="0" fontId="47" fillId="8" borderId="32" xfId="0" applyFont="1" applyFill="1" applyBorder="1" applyAlignment="1">
      <alignment horizontal="center" vertical="center" wrapText="1" readingOrder="2"/>
    </xf>
    <xf numFmtId="0" fontId="47" fillId="8" borderId="51" xfId="0" applyFont="1" applyFill="1" applyBorder="1" applyAlignment="1">
      <alignment horizontal="center" vertical="center" wrapText="1" readingOrder="2"/>
    </xf>
    <xf numFmtId="3" fontId="26" fillId="3" borderId="9" xfId="14" applyNumberFormat="1" applyFont="1" applyFill="1" applyBorder="1" applyAlignment="1">
      <alignment horizontal="center" vertical="center"/>
    </xf>
    <xf numFmtId="3" fontId="25" fillId="3" borderId="10" xfId="14" applyNumberFormat="1" applyFont="1" applyFill="1" applyBorder="1" applyAlignment="1">
      <alignment horizontal="center" vertical="center"/>
    </xf>
    <xf numFmtId="3" fontId="25" fillId="16" borderId="36" xfId="14" applyNumberFormat="1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 wrapText="1" readingOrder="2"/>
    </xf>
    <xf numFmtId="3" fontId="43" fillId="0" borderId="1" xfId="0" applyNumberFormat="1" applyFont="1" applyBorder="1" applyAlignment="1">
      <alignment horizontal="center" vertical="center" wrapText="1"/>
    </xf>
    <xf numFmtId="3" fontId="43" fillId="0" borderId="3" xfId="0" applyNumberFormat="1" applyFont="1" applyBorder="1" applyAlignment="1">
      <alignment horizontal="center" vertical="center" wrapText="1"/>
    </xf>
    <xf numFmtId="3" fontId="76" fillId="8" borderId="5" xfId="0" applyNumberFormat="1" applyFont="1" applyFill="1" applyBorder="1" applyAlignment="1">
      <alignment horizontal="center" vertical="center" wrapText="1"/>
    </xf>
    <xf numFmtId="3" fontId="76" fillId="8" borderId="5" xfId="0" applyNumberFormat="1" applyFont="1" applyFill="1" applyBorder="1" applyAlignment="1">
      <alignment horizontal="right" vertical="center" wrapText="1" readingOrder="2"/>
    </xf>
    <xf numFmtId="3" fontId="43" fillId="0" borderId="1" xfId="0" applyNumberFormat="1" applyFont="1" applyBorder="1" applyAlignment="1">
      <alignment horizontal="center" vertical="center" wrapText="1" readingOrder="2"/>
    </xf>
    <xf numFmtId="3" fontId="43" fillId="0" borderId="3" xfId="0" applyNumberFormat="1" applyFont="1" applyBorder="1" applyAlignment="1">
      <alignment horizontal="center" vertical="center" wrapText="1" readingOrder="2"/>
    </xf>
    <xf numFmtId="3" fontId="43" fillId="0" borderId="32" xfId="0" applyNumberFormat="1" applyFont="1" applyBorder="1" applyAlignment="1">
      <alignment horizontal="center" vertical="center" wrapText="1" readingOrder="2"/>
    </xf>
    <xf numFmtId="2" fontId="17" fillId="2" borderId="5" xfId="0" applyNumberFormat="1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17" fillId="3" borderId="3" xfId="0" applyNumberFormat="1" applyFont="1" applyFill="1" applyBorder="1" applyAlignment="1">
      <alignment horizontal="center" vertical="center"/>
    </xf>
    <xf numFmtId="0" fontId="77" fillId="2" borderId="0" xfId="0" applyFont="1" applyFill="1" applyAlignment="1">
      <alignment vertical="center"/>
    </xf>
    <xf numFmtId="3" fontId="33" fillId="2" borderId="10" xfId="4" applyNumberFormat="1" applyFont="1" applyFill="1" applyBorder="1" applyAlignment="1">
      <alignment horizontal="center" vertical="center"/>
    </xf>
    <xf numFmtId="4" fontId="29" fillId="2" borderId="4" xfId="4" applyNumberFormat="1" applyFont="1" applyFill="1" applyBorder="1" applyAlignment="1" applyProtection="1">
      <alignment horizontal="center" vertical="center" shrinkToFit="1" readingOrder="2"/>
      <protection hidden="1"/>
    </xf>
    <xf numFmtId="0" fontId="32" fillId="4" borderId="11" xfId="14" applyFont="1" applyFill="1" applyBorder="1" applyAlignment="1">
      <alignment horizontal="center" vertical="center" wrapText="1"/>
    </xf>
    <xf numFmtId="0" fontId="32" fillId="4" borderId="30" xfId="14" applyFont="1" applyFill="1" applyBorder="1" applyAlignment="1">
      <alignment horizontal="center" vertical="center"/>
    </xf>
    <xf numFmtId="0" fontId="32" fillId="4" borderId="11" xfId="14" applyFont="1" applyFill="1" applyBorder="1" applyAlignment="1">
      <alignment horizontal="center" vertical="center"/>
    </xf>
    <xf numFmtId="0" fontId="32" fillId="4" borderId="15" xfId="14" applyFont="1" applyFill="1" applyBorder="1" applyAlignment="1">
      <alignment horizontal="center" vertical="center" wrapText="1"/>
    </xf>
    <xf numFmtId="3" fontId="20" fillId="2" borderId="60" xfId="14" applyNumberFormat="1" applyFont="1" applyFill="1" applyBorder="1" applyAlignment="1">
      <alignment horizontal="center" vertical="center"/>
    </xf>
    <xf numFmtId="3" fontId="20" fillId="2" borderId="57" xfId="14" applyNumberFormat="1" applyFont="1" applyFill="1" applyBorder="1" applyAlignment="1">
      <alignment horizontal="center" vertical="center"/>
    </xf>
    <xf numFmtId="0" fontId="78" fillId="2" borderId="0" xfId="0" applyFont="1" applyFill="1" applyAlignment="1">
      <alignment vertical="center"/>
    </xf>
    <xf numFmtId="0" fontId="79" fillId="2" borderId="0" xfId="0" applyFont="1" applyFill="1" applyAlignment="1">
      <alignment vertical="center"/>
    </xf>
    <xf numFmtId="3" fontId="26" fillId="19" borderId="5" xfId="14" applyNumberFormat="1" applyFont="1" applyFill="1" applyBorder="1" applyAlignment="1">
      <alignment horizontal="center" vertical="center"/>
    </xf>
    <xf numFmtId="3" fontId="25" fillId="19" borderId="3" xfId="14" applyNumberFormat="1" applyFont="1" applyFill="1" applyBorder="1" applyAlignment="1">
      <alignment horizontal="center" vertical="center"/>
    </xf>
    <xf numFmtId="3" fontId="26" fillId="10" borderId="5" xfId="14" applyNumberFormat="1" applyFont="1" applyFill="1" applyBorder="1" applyAlignment="1">
      <alignment horizontal="center" vertical="center"/>
    </xf>
    <xf numFmtId="3" fontId="25" fillId="10" borderId="3" xfId="14" applyNumberFormat="1" applyFont="1" applyFill="1" applyBorder="1" applyAlignment="1">
      <alignment horizontal="center" vertical="center"/>
    </xf>
    <xf numFmtId="3" fontId="26" fillId="3" borderId="31" xfId="14" applyNumberFormat="1" applyFont="1" applyFill="1" applyBorder="1" applyAlignment="1">
      <alignment horizontal="center" vertical="center"/>
    </xf>
    <xf numFmtId="37" fontId="24" fillId="20" borderId="44" xfId="0" applyNumberFormat="1" applyFont="1" applyFill="1" applyBorder="1" applyAlignment="1">
      <alignment horizontal="center" vertical="center"/>
    </xf>
    <xf numFmtId="3" fontId="15" fillId="20" borderId="11" xfId="0" applyNumberFormat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 wrapText="1" readingOrder="2"/>
    </xf>
    <xf numFmtId="0" fontId="17" fillId="3" borderId="22" xfId="0" applyFont="1" applyFill="1" applyBorder="1" applyAlignment="1">
      <alignment horizontal="center" vertical="center" wrapText="1" readingOrder="2"/>
    </xf>
    <xf numFmtId="0" fontId="17" fillId="2" borderId="22" xfId="0" applyFont="1" applyFill="1" applyBorder="1" applyAlignment="1">
      <alignment horizontal="center" vertical="center" wrapText="1" readingOrder="2"/>
    </xf>
    <xf numFmtId="0" fontId="17" fillId="3" borderId="33" xfId="0" applyFont="1" applyFill="1" applyBorder="1" applyAlignment="1">
      <alignment horizontal="center" vertical="center" wrapText="1" readingOrder="2"/>
    </xf>
    <xf numFmtId="3" fontId="26" fillId="13" borderId="6" xfId="14" applyNumberFormat="1" applyFont="1" applyFill="1" applyBorder="1" applyAlignment="1">
      <alignment horizontal="center" vertical="center"/>
    </xf>
    <xf numFmtId="0" fontId="47" fillId="8" borderId="6" xfId="0" applyFont="1" applyFill="1" applyBorder="1" applyAlignment="1">
      <alignment horizontal="center" vertical="center" wrapText="1" readingOrder="2"/>
    </xf>
    <xf numFmtId="0" fontId="47" fillId="8" borderId="17" xfId="0" applyFont="1" applyFill="1" applyBorder="1" applyAlignment="1">
      <alignment horizontal="center" vertical="center" wrapText="1" readingOrder="2"/>
    </xf>
    <xf numFmtId="3" fontId="26" fillId="16" borderId="38" xfId="14" applyNumberFormat="1" applyFont="1" applyFill="1" applyBorder="1" applyAlignment="1">
      <alignment horizontal="center" vertical="center"/>
    </xf>
    <xf numFmtId="3" fontId="26" fillId="9" borderId="38" xfId="14" applyNumberFormat="1" applyFont="1" applyFill="1" applyBorder="1" applyAlignment="1">
      <alignment horizontal="center" vertical="center"/>
    </xf>
    <xf numFmtId="3" fontId="25" fillId="9" borderId="37" xfId="14" applyNumberFormat="1" applyFont="1" applyFill="1" applyBorder="1" applyAlignment="1">
      <alignment horizontal="center" vertical="center"/>
    </xf>
    <xf numFmtId="3" fontId="26" fillId="11" borderId="38" xfId="14" applyNumberFormat="1" applyFont="1" applyFill="1" applyBorder="1" applyAlignment="1">
      <alignment horizontal="center" vertical="center"/>
    </xf>
    <xf numFmtId="3" fontId="25" fillId="11" borderId="23" xfId="14" applyNumberFormat="1" applyFont="1" applyFill="1" applyBorder="1" applyAlignment="1">
      <alignment horizontal="center" vertical="center"/>
    </xf>
    <xf numFmtId="3" fontId="26" fillId="13" borderId="39" xfId="14" applyNumberFormat="1" applyFont="1" applyFill="1" applyBorder="1" applyAlignment="1">
      <alignment horizontal="center" vertical="center"/>
    </xf>
    <xf numFmtId="3" fontId="25" fillId="13" borderId="23" xfId="14" applyNumberFormat="1" applyFont="1" applyFill="1" applyBorder="1" applyAlignment="1">
      <alignment horizontal="center" vertical="center"/>
    </xf>
    <xf numFmtId="3" fontId="26" fillId="18" borderId="38" xfId="14" applyNumberFormat="1" applyFont="1" applyFill="1" applyBorder="1" applyAlignment="1">
      <alignment horizontal="center" vertical="center"/>
    </xf>
    <xf numFmtId="3" fontId="25" fillId="18" borderId="23" xfId="14" applyNumberFormat="1" applyFont="1" applyFill="1" applyBorder="1" applyAlignment="1">
      <alignment horizontal="center" vertical="center"/>
    </xf>
    <xf numFmtId="3" fontId="26" fillId="19" borderId="38" xfId="14" applyNumberFormat="1" applyFont="1" applyFill="1" applyBorder="1" applyAlignment="1">
      <alignment horizontal="center" vertical="center"/>
    </xf>
    <xf numFmtId="3" fontId="25" fillId="19" borderId="23" xfId="14" applyNumberFormat="1" applyFont="1" applyFill="1" applyBorder="1" applyAlignment="1">
      <alignment horizontal="center" vertical="center"/>
    </xf>
    <xf numFmtId="3" fontId="26" fillId="3" borderId="38" xfId="14" applyNumberFormat="1" applyFont="1" applyFill="1" applyBorder="1" applyAlignment="1">
      <alignment horizontal="center" vertical="center"/>
    </xf>
    <xf numFmtId="3" fontId="25" fillId="3" borderId="23" xfId="14" applyNumberFormat="1" applyFont="1" applyFill="1" applyBorder="1" applyAlignment="1">
      <alignment horizontal="center" vertical="center"/>
    </xf>
    <xf numFmtId="3" fontId="26" fillId="10" borderId="38" xfId="14" applyNumberFormat="1" applyFont="1" applyFill="1" applyBorder="1" applyAlignment="1">
      <alignment horizontal="center" vertical="center"/>
    </xf>
    <xf numFmtId="3" fontId="25" fillId="10" borderId="23" xfId="14" applyNumberFormat="1" applyFont="1" applyFill="1" applyBorder="1" applyAlignment="1">
      <alignment horizontal="center" vertical="center"/>
    </xf>
    <xf numFmtId="0" fontId="47" fillId="8" borderId="38" xfId="0" applyFont="1" applyFill="1" applyBorder="1" applyAlignment="1">
      <alignment horizontal="center" vertical="center" wrapText="1" readingOrder="2"/>
    </xf>
    <xf numFmtId="0" fontId="47" fillId="8" borderId="23" xfId="0" applyFont="1" applyFill="1" applyBorder="1" applyAlignment="1">
      <alignment horizontal="center" vertical="center" wrapText="1" readingOrder="2"/>
    </xf>
    <xf numFmtId="3" fontId="26" fillId="3" borderId="37" xfId="14" applyNumberFormat="1" applyFont="1" applyFill="1" applyBorder="1" applyAlignment="1">
      <alignment horizontal="center" vertical="center"/>
    </xf>
    <xf numFmtId="0" fontId="32" fillId="4" borderId="16" xfId="14" applyFont="1" applyFill="1" applyBorder="1" applyAlignment="1">
      <alignment horizontal="center" vertical="center" wrapText="1"/>
    </xf>
    <xf numFmtId="3" fontId="17" fillId="2" borderId="19" xfId="0" applyNumberFormat="1" applyFont="1" applyFill="1" applyBorder="1" applyAlignment="1">
      <alignment horizontal="center" vertical="center" wrapText="1" readingOrder="2"/>
    </xf>
    <xf numFmtId="3" fontId="17" fillId="3" borderId="1" xfId="0" applyNumberFormat="1" applyFont="1" applyFill="1" applyBorder="1" applyAlignment="1">
      <alignment horizontal="center" vertical="center" wrapText="1" readingOrder="2"/>
    </xf>
    <xf numFmtId="3" fontId="17" fillId="2" borderId="1" xfId="0" applyNumberFormat="1" applyFont="1" applyFill="1" applyBorder="1" applyAlignment="1">
      <alignment horizontal="center" vertical="center" wrapText="1" readingOrder="2"/>
    </xf>
    <xf numFmtId="3" fontId="17" fillId="3" borderId="24" xfId="0" applyNumberFormat="1" applyFont="1" applyFill="1" applyBorder="1" applyAlignment="1">
      <alignment horizontal="center" vertical="center" wrapText="1" readingOrder="2"/>
    </xf>
    <xf numFmtId="3" fontId="29" fillId="0" borderId="3" xfId="4" applyNumberFormat="1" applyFont="1" applyFill="1" applyBorder="1" applyAlignment="1" applyProtection="1">
      <alignment horizontal="center" vertical="center" shrinkToFit="1" readingOrder="2"/>
      <protection hidden="1"/>
    </xf>
    <xf numFmtId="0" fontId="47" fillId="8" borderId="37" xfId="0" applyFont="1" applyFill="1" applyBorder="1" applyAlignment="1">
      <alignment horizontal="center" vertical="center" wrapText="1" readingOrder="2"/>
    </xf>
    <xf numFmtId="0" fontId="47" fillId="8" borderId="1" xfId="0" applyFont="1" applyFill="1" applyBorder="1" applyAlignment="1">
      <alignment horizontal="center" vertical="center" wrapText="1" readingOrder="2"/>
    </xf>
    <xf numFmtId="3" fontId="34" fillId="19" borderId="41" xfId="14" applyNumberFormat="1" applyFont="1" applyFill="1" applyBorder="1" applyAlignment="1">
      <alignment horizontal="center" vertical="center" wrapText="1"/>
    </xf>
    <xf numFmtId="3" fontId="34" fillId="19" borderId="60" xfId="14" applyNumberFormat="1" applyFont="1" applyFill="1" applyBorder="1" applyAlignment="1">
      <alignment horizontal="center" vertical="center" wrapText="1"/>
    </xf>
    <xf numFmtId="0" fontId="34" fillId="10" borderId="9" xfId="14" applyFont="1" applyFill="1" applyBorder="1" applyAlignment="1">
      <alignment horizontal="center" vertical="center"/>
    </xf>
    <xf numFmtId="0" fontId="34" fillId="10" borderId="31" xfId="14" applyFont="1" applyFill="1" applyBorder="1" applyAlignment="1">
      <alignment horizontal="center" vertical="center"/>
    </xf>
    <xf numFmtId="0" fontId="32" fillId="4" borderId="44" xfId="14" applyFont="1" applyFill="1" applyBorder="1" applyAlignment="1">
      <alignment horizontal="center" vertical="center"/>
    </xf>
    <xf numFmtId="0" fontId="32" fillId="4" borderId="11" xfId="14" applyFont="1" applyFill="1" applyBorder="1" applyAlignment="1">
      <alignment horizontal="center" vertical="center"/>
    </xf>
    <xf numFmtId="0" fontId="32" fillId="4" borderId="16" xfId="14" applyFont="1" applyFill="1" applyBorder="1" applyAlignment="1">
      <alignment horizontal="center" vertical="center"/>
    </xf>
    <xf numFmtId="0" fontId="34" fillId="16" borderId="6" xfId="14" applyFont="1" applyFill="1" applyBorder="1" applyAlignment="1">
      <alignment horizontal="center" vertical="center" wrapText="1"/>
    </xf>
    <xf numFmtId="0" fontId="34" fillId="16" borderId="32" xfId="14" applyFont="1" applyFill="1" applyBorder="1" applyAlignment="1">
      <alignment horizontal="center" vertical="center" wrapText="1"/>
    </xf>
    <xf numFmtId="3" fontId="34" fillId="16" borderId="6" xfId="14" applyNumberFormat="1" applyFont="1" applyFill="1" applyBorder="1" applyAlignment="1">
      <alignment horizontal="center" vertical="center" wrapText="1"/>
    </xf>
    <xf numFmtId="3" fontId="34" fillId="16" borderId="32" xfId="14" applyNumberFormat="1" applyFont="1" applyFill="1" applyBorder="1" applyAlignment="1">
      <alignment horizontal="center" vertical="center" wrapText="1"/>
    </xf>
    <xf numFmtId="0" fontId="34" fillId="9" borderId="5" xfId="14" applyFont="1" applyFill="1" applyBorder="1" applyAlignment="1">
      <alignment horizontal="center" vertical="center" wrapText="1"/>
    </xf>
    <xf numFmtId="0" fontId="34" fillId="9" borderId="32" xfId="14" applyFont="1" applyFill="1" applyBorder="1" applyAlignment="1">
      <alignment horizontal="center" vertical="center" wrapText="1"/>
    </xf>
    <xf numFmtId="0" fontId="34" fillId="11" borderId="5" xfId="14" applyFont="1" applyFill="1" applyBorder="1" applyAlignment="1">
      <alignment horizontal="center" vertical="center" wrapText="1"/>
    </xf>
    <xf numFmtId="0" fontId="34" fillId="11" borderId="32" xfId="14" applyFont="1" applyFill="1" applyBorder="1" applyAlignment="1">
      <alignment horizontal="center" vertical="center" wrapText="1"/>
    </xf>
    <xf numFmtId="0" fontId="34" fillId="13" borderId="5" xfId="14" applyFont="1" applyFill="1" applyBorder="1" applyAlignment="1">
      <alignment horizontal="center" vertical="center" wrapText="1"/>
    </xf>
    <xf numFmtId="0" fontId="34" fillId="13" borderId="32" xfId="14" applyFont="1" applyFill="1" applyBorder="1" applyAlignment="1">
      <alignment horizontal="center" vertical="center" wrapText="1"/>
    </xf>
    <xf numFmtId="0" fontId="34" fillId="18" borderId="5" xfId="14" applyFont="1" applyFill="1" applyBorder="1" applyAlignment="1">
      <alignment horizontal="center" vertical="center" wrapText="1"/>
    </xf>
    <xf numFmtId="0" fontId="34" fillId="18" borderId="32" xfId="14" applyFont="1" applyFill="1" applyBorder="1" applyAlignment="1">
      <alignment horizontal="center" vertical="center" wrapText="1"/>
    </xf>
    <xf numFmtId="0" fontId="34" fillId="3" borderId="5" xfId="14" applyFont="1" applyFill="1" applyBorder="1" applyAlignment="1">
      <alignment horizontal="center" vertical="center" wrapText="1"/>
    </xf>
    <xf numFmtId="0" fontId="34" fillId="3" borderId="32" xfId="14" applyFont="1" applyFill="1" applyBorder="1" applyAlignment="1">
      <alignment horizontal="center" vertical="center" wrapText="1"/>
    </xf>
    <xf numFmtId="3" fontId="34" fillId="10" borderId="5" xfId="14" applyNumberFormat="1" applyFont="1" applyFill="1" applyBorder="1" applyAlignment="1">
      <alignment horizontal="center" vertical="center" wrapText="1"/>
    </xf>
    <xf numFmtId="3" fontId="34" fillId="10" borderId="32" xfId="14" applyNumberFormat="1" applyFont="1" applyFill="1" applyBorder="1" applyAlignment="1">
      <alignment horizontal="center" vertical="center" wrapText="1"/>
    </xf>
    <xf numFmtId="3" fontId="34" fillId="3" borderId="5" xfId="14" applyNumberFormat="1" applyFont="1" applyFill="1" applyBorder="1" applyAlignment="1">
      <alignment horizontal="center" vertical="center" wrapText="1"/>
    </xf>
    <xf numFmtId="3" fontId="34" fillId="3" borderId="32" xfId="14" applyNumberFormat="1" applyFont="1" applyFill="1" applyBorder="1" applyAlignment="1">
      <alignment horizontal="center" vertical="center" wrapText="1"/>
    </xf>
    <xf numFmtId="3" fontId="34" fillId="9" borderId="5" xfId="14" applyNumberFormat="1" applyFont="1" applyFill="1" applyBorder="1" applyAlignment="1">
      <alignment horizontal="center" vertical="center" wrapText="1"/>
    </xf>
    <xf numFmtId="3" fontId="34" fillId="9" borderId="32" xfId="14" applyNumberFormat="1" applyFont="1" applyFill="1" applyBorder="1" applyAlignment="1">
      <alignment horizontal="center" vertical="center" wrapText="1"/>
    </xf>
    <xf numFmtId="3" fontId="34" fillId="11" borderId="5" xfId="14" applyNumberFormat="1" applyFont="1" applyFill="1" applyBorder="1" applyAlignment="1">
      <alignment horizontal="center" vertical="center" wrapText="1"/>
    </xf>
    <xf numFmtId="3" fontId="34" fillId="11" borderId="32" xfId="14" applyNumberFormat="1" applyFont="1" applyFill="1" applyBorder="1" applyAlignment="1">
      <alignment horizontal="center" vertical="center" wrapText="1"/>
    </xf>
    <xf numFmtId="3" fontId="34" fillId="13" borderId="5" xfId="14" applyNumberFormat="1" applyFont="1" applyFill="1" applyBorder="1" applyAlignment="1">
      <alignment horizontal="center" vertical="center" wrapText="1"/>
    </xf>
    <xf numFmtId="3" fontId="34" fillId="13" borderId="32" xfId="14" applyNumberFormat="1" applyFont="1" applyFill="1" applyBorder="1" applyAlignment="1">
      <alignment horizontal="center" vertical="center" wrapText="1"/>
    </xf>
    <xf numFmtId="0" fontId="34" fillId="19" borderId="5" xfId="14" applyFont="1" applyFill="1" applyBorder="1" applyAlignment="1">
      <alignment horizontal="center" vertical="center" wrapText="1"/>
    </xf>
    <xf numFmtId="0" fontId="34" fillId="19" borderId="32" xfId="14" applyFont="1" applyFill="1" applyBorder="1" applyAlignment="1">
      <alignment horizontal="center" vertical="center" wrapText="1"/>
    </xf>
    <xf numFmtId="3" fontId="34" fillId="19" borderId="5" xfId="14" applyNumberFormat="1" applyFont="1" applyFill="1" applyBorder="1" applyAlignment="1">
      <alignment horizontal="center" vertical="center" wrapText="1"/>
    </xf>
    <xf numFmtId="3" fontId="34" fillId="19" borderId="32" xfId="14" applyNumberFormat="1" applyFont="1" applyFill="1" applyBorder="1" applyAlignment="1">
      <alignment horizontal="center" vertical="center" wrapText="1"/>
    </xf>
    <xf numFmtId="0" fontId="34" fillId="10" borderId="5" xfId="14" applyFont="1" applyFill="1" applyBorder="1" applyAlignment="1">
      <alignment horizontal="center" vertical="center" wrapText="1"/>
    </xf>
    <xf numFmtId="0" fontId="34" fillId="10" borderId="32" xfId="14" applyFont="1" applyFill="1" applyBorder="1" applyAlignment="1">
      <alignment horizontal="center" vertical="center" wrapText="1"/>
    </xf>
    <xf numFmtId="0" fontId="34" fillId="19" borderId="54" xfId="14" applyFont="1" applyFill="1" applyBorder="1" applyAlignment="1">
      <alignment horizontal="center" vertical="center"/>
    </xf>
    <xf numFmtId="0" fontId="34" fillId="19" borderId="68" xfId="14" applyFont="1" applyFill="1" applyBorder="1" applyAlignment="1">
      <alignment horizontal="center" vertical="center"/>
    </xf>
    <xf numFmtId="0" fontId="34" fillId="13" borderId="9" xfId="14" applyFont="1" applyFill="1" applyBorder="1" applyAlignment="1">
      <alignment horizontal="center" vertical="center"/>
    </xf>
    <xf numFmtId="0" fontId="34" fillId="13" borderId="31" xfId="14" applyFont="1" applyFill="1" applyBorder="1" applyAlignment="1">
      <alignment horizontal="center" vertical="center"/>
    </xf>
    <xf numFmtId="0" fontId="34" fillId="18" borderId="9" xfId="14" applyFont="1" applyFill="1" applyBorder="1" applyAlignment="1">
      <alignment horizontal="center" vertical="center"/>
    </xf>
    <xf numFmtId="0" fontId="34" fillId="18" borderId="31" xfId="14" applyFont="1" applyFill="1" applyBorder="1" applyAlignment="1">
      <alignment horizontal="center" vertical="center"/>
    </xf>
    <xf numFmtId="0" fontId="34" fillId="3" borderId="9" xfId="14" applyFont="1" applyFill="1" applyBorder="1" applyAlignment="1">
      <alignment horizontal="center" vertical="center"/>
    </xf>
    <xf numFmtId="0" fontId="34" fillId="3" borderId="31" xfId="14" applyFont="1" applyFill="1" applyBorder="1" applyAlignment="1">
      <alignment horizontal="center" vertical="center"/>
    </xf>
    <xf numFmtId="3" fontId="34" fillId="18" borderId="5" xfId="14" applyNumberFormat="1" applyFont="1" applyFill="1" applyBorder="1" applyAlignment="1">
      <alignment horizontal="center" vertical="center" wrapText="1"/>
    </xf>
    <xf numFmtId="3" fontId="34" fillId="18" borderId="32" xfId="14" applyNumberFormat="1" applyFont="1" applyFill="1" applyBorder="1" applyAlignment="1">
      <alignment horizontal="center" vertical="center" wrapText="1"/>
    </xf>
    <xf numFmtId="0" fontId="70" fillId="15" borderId="42" xfId="14" applyFont="1" applyFill="1" applyBorder="1" applyAlignment="1">
      <alignment horizontal="center" vertical="center"/>
    </xf>
    <xf numFmtId="0" fontId="70" fillId="15" borderId="25" xfId="14" applyFont="1" applyFill="1" applyBorder="1" applyAlignment="1">
      <alignment horizontal="center" vertical="center"/>
    </xf>
    <xf numFmtId="0" fontId="70" fillId="15" borderId="14" xfId="14" applyFont="1" applyFill="1" applyBorder="1" applyAlignment="1">
      <alignment horizontal="center" vertical="center"/>
    </xf>
    <xf numFmtId="0" fontId="70" fillId="15" borderId="15" xfId="14" applyFont="1" applyFill="1" applyBorder="1" applyAlignment="1">
      <alignment horizontal="center" vertical="center"/>
    </xf>
    <xf numFmtId="3" fontId="34" fillId="16" borderId="27" xfId="14" applyNumberFormat="1" applyFont="1" applyFill="1" applyBorder="1" applyAlignment="1">
      <alignment horizontal="center" vertical="center" wrapText="1"/>
    </xf>
    <xf numFmtId="3" fontId="34" fillId="16" borderId="62" xfId="14" applyNumberFormat="1" applyFont="1" applyFill="1" applyBorder="1" applyAlignment="1">
      <alignment horizontal="center" vertical="center" wrapText="1"/>
    </xf>
    <xf numFmtId="3" fontId="34" fillId="9" borderId="27" xfId="14" applyNumberFormat="1" applyFont="1" applyFill="1" applyBorder="1" applyAlignment="1">
      <alignment horizontal="center" vertical="center" wrapText="1"/>
    </xf>
    <xf numFmtId="3" fontId="34" fillId="9" borderId="62" xfId="14" applyNumberFormat="1" applyFont="1" applyFill="1" applyBorder="1" applyAlignment="1">
      <alignment horizontal="center" vertical="center" wrapText="1"/>
    </xf>
    <xf numFmtId="3" fontId="34" fillId="11" borderId="27" xfId="14" applyNumberFormat="1" applyFont="1" applyFill="1" applyBorder="1" applyAlignment="1">
      <alignment horizontal="center" vertical="center" wrapText="1"/>
    </xf>
    <xf numFmtId="3" fontId="34" fillId="11" borderId="62" xfId="14" applyNumberFormat="1" applyFont="1" applyFill="1" applyBorder="1" applyAlignment="1">
      <alignment horizontal="center" vertical="center" wrapText="1"/>
    </xf>
    <xf numFmtId="3" fontId="34" fillId="13" borderId="27" xfId="14" applyNumberFormat="1" applyFont="1" applyFill="1" applyBorder="1" applyAlignment="1">
      <alignment horizontal="center" vertical="center" wrapText="1"/>
    </xf>
    <xf numFmtId="3" fontId="34" fillId="13" borderId="62" xfId="14" applyNumberFormat="1" applyFont="1" applyFill="1" applyBorder="1" applyAlignment="1">
      <alignment horizontal="center" vertical="center" wrapText="1"/>
    </xf>
    <xf numFmtId="3" fontId="34" fillId="18" borderId="41" xfId="14" applyNumberFormat="1" applyFont="1" applyFill="1" applyBorder="1" applyAlignment="1">
      <alignment horizontal="center" vertical="center" wrapText="1"/>
    </xf>
    <xf numFmtId="3" fontId="34" fillId="18" borderId="60" xfId="14" applyNumberFormat="1" applyFont="1" applyFill="1" applyBorder="1" applyAlignment="1">
      <alignment horizontal="center" vertical="center" wrapText="1"/>
    </xf>
    <xf numFmtId="3" fontId="34" fillId="10" borderId="27" xfId="14" applyNumberFormat="1" applyFont="1" applyFill="1" applyBorder="1" applyAlignment="1">
      <alignment horizontal="center" vertical="center" wrapText="1"/>
    </xf>
    <xf numFmtId="3" fontId="34" fillId="10" borderId="62" xfId="14" applyNumberFormat="1" applyFont="1" applyFill="1" applyBorder="1" applyAlignment="1">
      <alignment horizontal="center" vertical="center" wrapText="1"/>
    </xf>
    <xf numFmtId="0" fontId="34" fillId="16" borderId="63" xfId="14" applyFont="1" applyFill="1" applyBorder="1" applyAlignment="1">
      <alignment horizontal="center" vertical="center"/>
    </xf>
    <xf numFmtId="0" fontId="34" fillId="16" borderId="31" xfId="14" applyFont="1" applyFill="1" applyBorder="1" applyAlignment="1">
      <alignment horizontal="center" vertical="center"/>
    </xf>
    <xf numFmtId="0" fontId="34" fillId="9" borderId="9" xfId="14" applyFont="1" applyFill="1" applyBorder="1" applyAlignment="1">
      <alignment horizontal="center" vertical="center"/>
    </xf>
    <xf numFmtId="0" fontId="34" fillId="9" borderId="31" xfId="14" applyFont="1" applyFill="1" applyBorder="1" applyAlignment="1">
      <alignment horizontal="center" vertical="center"/>
    </xf>
    <xf numFmtId="0" fontId="34" fillId="11" borderId="9" xfId="14" applyFont="1" applyFill="1" applyBorder="1" applyAlignment="1">
      <alignment horizontal="center" vertical="center"/>
    </xf>
    <xf numFmtId="0" fontId="34" fillId="11" borderId="31" xfId="14" applyFont="1" applyFill="1" applyBorder="1" applyAlignment="1">
      <alignment horizontal="center" vertical="center"/>
    </xf>
    <xf numFmtId="0" fontId="69" fillId="2" borderId="18" xfId="14" applyFont="1" applyFill="1" applyBorder="1" applyAlignment="1">
      <alignment horizontal="center" vertical="center"/>
    </xf>
    <xf numFmtId="0" fontId="69" fillId="2" borderId="14" xfId="14" applyFont="1" applyFill="1" applyBorder="1" applyAlignment="1">
      <alignment horizontal="center" vertical="center"/>
    </xf>
    <xf numFmtId="0" fontId="69" fillId="2" borderId="15" xfId="14" applyFont="1" applyFill="1" applyBorder="1" applyAlignment="1">
      <alignment horizontal="center" vertical="center"/>
    </xf>
    <xf numFmtId="0" fontId="73" fillId="2" borderId="0" xfId="14" applyFont="1" applyFill="1" applyAlignment="1">
      <alignment horizontal="center" vertical="top" wrapText="1"/>
    </xf>
    <xf numFmtId="3" fontId="34" fillId="10" borderId="43" xfId="14" applyNumberFormat="1" applyFont="1" applyFill="1" applyBorder="1" applyAlignment="1">
      <alignment horizontal="center" vertical="center" wrapText="1"/>
    </xf>
    <xf numFmtId="3" fontId="34" fillId="10" borderId="58" xfId="14" applyNumberFormat="1" applyFont="1" applyFill="1" applyBorder="1" applyAlignment="1">
      <alignment horizontal="center" vertical="center" wrapText="1"/>
    </xf>
    <xf numFmtId="0" fontId="69" fillId="2" borderId="35" xfId="14" applyFont="1" applyFill="1" applyBorder="1" applyAlignment="1">
      <alignment horizontal="center" vertical="center" readingOrder="2"/>
    </xf>
    <xf numFmtId="0" fontId="69" fillId="2" borderId="29" xfId="14" applyFont="1" applyFill="1" applyBorder="1" applyAlignment="1">
      <alignment horizontal="center" vertical="center" readingOrder="2"/>
    </xf>
    <xf numFmtId="0" fontId="69" fillId="2" borderId="58" xfId="14" applyFont="1" applyFill="1" applyBorder="1" applyAlignment="1">
      <alignment horizontal="center" vertical="center" readingOrder="2"/>
    </xf>
    <xf numFmtId="0" fontId="34" fillId="10" borderId="3" xfId="14" applyFont="1" applyFill="1" applyBorder="1" applyAlignment="1">
      <alignment horizontal="center" vertical="center" wrapText="1"/>
    </xf>
    <xf numFmtId="164" fontId="34" fillId="16" borderId="17" xfId="14" applyNumberFormat="1" applyFont="1" applyFill="1" applyBorder="1" applyAlignment="1">
      <alignment horizontal="center" vertical="center" wrapText="1"/>
    </xf>
    <xf numFmtId="164" fontId="34" fillId="16" borderId="51" xfId="14" applyNumberFormat="1" applyFont="1" applyFill="1" applyBorder="1" applyAlignment="1">
      <alignment horizontal="center" vertical="center" wrapText="1"/>
    </xf>
    <xf numFmtId="164" fontId="34" fillId="9" borderId="50" xfId="14" applyNumberFormat="1" applyFont="1" applyFill="1" applyBorder="1" applyAlignment="1">
      <alignment horizontal="center" vertical="center" wrapText="1"/>
    </xf>
    <xf numFmtId="164" fontId="34" fillId="9" borderId="56" xfId="14" applyNumberFormat="1" applyFont="1" applyFill="1" applyBorder="1" applyAlignment="1">
      <alignment horizontal="center" vertical="center" wrapText="1"/>
    </xf>
    <xf numFmtId="164" fontId="34" fillId="11" borderId="50" xfId="14" applyNumberFormat="1" applyFont="1" applyFill="1" applyBorder="1" applyAlignment="1">
      <alignment horizontal="center" vertical="center" wrapText="1"/>
    </xf>
    <xf numFmtId="164" fontId="34" fillId="11" borderId="56" xfId="14" applyNumberFormat="1" applyFont="1" applyFill="1" applyBorder="1" applyAlignment="1">
      <alignment horizontal="center" vertical="center" wrapText="1"/>
    </xf>
    <xf numFmtId="164" fontId="34" fillId="13" borderId="50" xfId="14" applyNumberFormat="1" applyFont="1" applyFill="1" applyBorder="1" applyAlignment="1">
      <alignment horizontal="center" vertical="center" wrapText="1"/>
    </xf>
    <xf numFmtId="164" fontId="34" fillId="13" borderId="56" xfId="14" applyNumberFormat="1" applyFont="1" applyFill="1" applyBorder="1" applyAlignment="1">
      <alignment horizontal="center" vertical="center" wrapText="1"/>
    </xf>
    <xf numFmtId="164" fontId="34" fillId="18" borderId="50" xfId="14" applyNumberFormat="1" applyFont="1" applyFill="1" applyBorder="1" applyAlignment="1">
      <alignment horizontal="center" vertical="center" wrapText="1"/>
    </xf>
    <xf numFmtId="164" fontId="34" fillId="18" borderId="56" xfId="14" applyNumberFormat="1" applyFont="1" applyFill="1" applyBorder="1" applyAlignment="1">
      <alignment horizontal="center" vertical="center" wrapText="1"/>
    </xf>
    <xf numFmtId="164" fontId="34" fillId="19" borderId="50" xfId="14" applyNumberFormat="1" applyFont="1" applyFill="1" applyBorder="1" applyAlignment="1">
      <alignment horizontal="center" vertical="center" wrapText="1"/>
    </xf>
    <xf numFmtId="164" fontId="34" fillId="19" borderId="56" xfId="14" applyNumberFormat="1" applyFont="1" applyFill="1" applyBorder="1" applyAlignment="1">
      <alignment horizontal="center" vertical="center" wrapText="1"/>
    </xf>
    <xf numFmtId="164" fontId="34" fillId="3" borderId="50" xfId="14" applyNumberFormat="1" applyFont="1" applyFill="1" applyBorder="1" applyAlignment="1">
      <alignment horizontal="center" vertical="center" wrapText="1"/>
    </xf>
    <xf numFmtId="164" fontId="34" fillId="3" borderId="56" xfId="14" applyNumberFormat="1" applyFont="1" applyFill="1" applyBorder="1" applyAlignment="1">
      <alignment horizontal="center" vertical="center" wrapText="1"/>
    </xf>
    <xf numFmtId="164" fontId="34" fillId="10" borderId="50" xfId="14" applyNumberFormat="1" applyFont="1" applyFill="1" applyBorder="1" applyAlignment="1">
      <alignment horizontal="center" vertical="center" wrapText="1"/>
    </xf>
    <xf numFmtId="164" fontId="34" fillId="10" borderId="56" xfId="14" applyNumberFormat="1" applyFont="1" applyFill="1" applyBorder="1" applyAlignment="1">
      <alignment horizontal="center" vertical="center" wrapText="1"/>
    </xf>
    <xf numFmtId="3" fontId="34" fillId="10" borderId="6" xfId="14" applyNumberFormat="1" applyFont="1" applyFill="1" applyBorder="1" applyAlignment="1">
      <alignment horizontal="center" vertical="center" wrapText="1"/>
    </xf>
    <xf numFmtId="0" fontId="34" fillId="10" borderId="34" xfId="14" applyFont="1" applyFill="1" applyBorder="1" applyAlignment="1">
      <alignment horizontal="center" vertical="center" wrapText="1"/>
    </xf>
    <xf numFmtId="0" fontId="34" fillId="10" borderId="28" xfId="14" applyFont="1" applyFill="1" applyBorder="1" applyAlignment="1">
      <alignment horizontal="center" vertical="center" wrapText="1"/>
    </xf>
    <xf numFmtId="0" fontId="34" fillId="10" borderId="37" xfId="14" applyFont="1" applyFill="1" applyBorder="1" applyAlignment="1">
      <alignment horizontal="center" vertical="center"/>
    </xf>
    <xf numFmtId="0" fontId="34" fillId="10" borderId="39" xfId="14" applyFont="1" applyFill="1" applyBorder="1" applyAlignment="1">
      <alignment horizontal="center" vertical="center"/>
    </xf>
    <xf numFmtId="164" fontId="34" fillId="10" borderId="32" xfId="14" applyNumberFormat="1" applyFont="1" applyFill="1" applyBorder="1" applyAlignment="1">
      <alignment horizontal="center" vertical="center" wrapText="1"/>
    </xf>
    <xf numFmtId="164" fontId="34" fillId="10" borderId="6" xfId="14" applyNumberFormat="1" applyFont="1" applyFill="1" applyBorder="1" applyAlignment="1">
      <alignment horizontal="center" vertical="center" wrapText="1"/>
    </xf>
    <xf numFmtId="164" fontId="34" fillId="10" borderId="59" xfId="14" applyNumberFormat="1" applyFont="1" applyFill="1" applyBorder="1" applyAlignment="1">
      <alignment horizontal="center" vertical="center" wrapText="1"/>
    </xf>
    <xf numFmtId="164" fontId="34" fillId="10" borderId="1" xfId="14" applyNumberFormat="1" applyFont="1" applyFill="1" applyBorder="1" applyAlignment="1">
      <alignment horizontal="center" vertical="center" wrapText="1"/>
    </xf>
    <xf numFmtId="0" fontId="64" fillId="4" borderId="18" xfId="0" applyFont="1" applyFill="1" applyBorder="1" applyAlignment="1">
      <alignment horizontal="center" vertical="center"/>
    </xf>
    <xf numFmtId="0" fontId="64" fillId="4" borderId="14" xfId="0" applyFont="1" applyFill="1" applyBorder="1" applyAlignment="1">
      <alignment horizontal="center" vertical="center"/>
    </xf>
    <xf numFmtId="0" fontId="64" fillId="4" borderId="15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3" fontId="18" fillId="2" borderId="61" xfId="0" applyNumberFormat="1" applyFont="1" applyFill="1" applyBorder="1" applyAlignment="1">
      <alignment horizontal="center" vertical="center"/>
    </xf>
    <xf numFmtId="3" fontId="18" fillId="2" borderId="45" xfId="0" applyNumberFormat="1" applyFont="1" applyFill="1" applyBorder="1" applyAlignment="1">
      <alignment horizontal="center" vertical="center"/>
    </xf>
    <xf numFmtId="3" fontId="18" fillId="2" borderId="23" xfId="0" applyNumberFormat="1" applyFont="1" applyFill="1" applyBorder="1" applyAlignment="1">
      <alignment horizontal="center" vertical="center"/>
    </xf>
    <xf numFmtId="3" fontId="18" fillId="2" borderId="22" xfId="0" applyNumberFormat="1" applyFont="1" applyFill="1" applyBorder="1" applyAlignment="1">
      <alignment horizontal="center" vertical="center"/>
    </xf>
    <xf numFmtId="3" fontId="18" fillId="2" borderId="65" xfId="0" applyNumberFormat="1" applyFont="1" applyFill="1" applyBorder="1" applyAlignment="1">
      <alignment horizontal="center" vertical="center"/>
    </xf>
    <xf numFmtId="3" fontId="18" fillId="2" borderId="8" xfId="0" applyNumberFormat="1" applyFont="1" applyFill="1" applyBorder="1" applyAlignment="1">
      <alignment horizontal="center" vertical="center"/>
    </xf>
    <xf numFmtId="3" fontId="18" fillId="13" borderId="22" xfId="0" applyNumberFormat="1" applyFont="1" applyFill="1" applyBorder="1" applyAlignment="1">
      <alignment horizontal="center" vertical="center"/>
    </xf>
    <xf numFmtId="3" fontId="18" fillId="13" borderId="65" xfId="0" applyNumberFormat="1" applyFont="1" applyFill="1" applyBorder="1" applyAlignment="1">
      <alignment horizontal="center" vertical="center"/>
    </xf>
    <xf numFmtId="3" fontId="18" fillId="13" borderId="8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right" vertic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2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61" xfId="0" applyFont="1" applyFill="1" applyBorder="1" applyAlignment="1">
      <alignment horizontal="center" vertical="center" wrapText="1"/>
    </xf>
    <xf numFmtId="0" fontId="17" fillId="13" borderId="38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7" fillId="13" borderId="21" xfId="0" applyFont="1" applyFill="1" applyBorder="1" applyAlignment="1">
      <alignment horizontal="center" vertical="center"/>
    </xf>
    <xf numFmtId="0" fontId="17" fillId="13" borderId="37" xfId="0" applyFont="1" applyFill="1" applyBorder="1" applyAlignment="1">
      <alignment horizontal="center" vertical="center"/>
    </xf>
    <xf numFmtId="0" fontId="17" fillId="13" borderId="32" xfId="0" applyFont="1" applyFill="1" applyBorder="1" applyAlignment="1">
      <alignment horizontal="center" vertical="center"/>
    </xf>
    <xf numFmtId="0" fontId="17" fillId="13" borderId="33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37" fontId="15" fillId="13" borderId="34" xfId="0" applyNumberFormat="1" applyFont="1" applyFill="1" applyBorder="1" applyAlignment="1">
      <alignment horizontal="center" vertical="center"/>
    </xf>
    <xf numFmtId="37" fontId="15" fillId="13" borderId="28" xfId="0" applyNumberFormat="1" applyFont="1" applyFill="1" applyBorder="1" applyAlignment="1">
      <alignment horizontal="center" vertical="center"/>
    </xf>
    <xf numFmtId="37" fontId="15" fillId="2" borderId="34" xfId="0" applyNumberFormat="1" applyFont="1" applyFill="1" applyBorder="1" applyAlignment="1">
      <alignment horizontal="center" vertical="center" wrapText="1"/>
    </xf>
    <xf numFmtId="37" fontId="15" fillId="2" borderId="6" xfId="0" applyNumberFormat="1" applyFont="1" applyFill="1" applyBorder="1" applyAlignment="1">
      <alignment horizontal="center" vertical="center" wrapText="1"/>
    </xf>
    <xf numFmtId="37" fontId="15" fillId="13" borderId="32" xfId="0" applyNumberFormat="1" applyFont="1" applyFill="1" applyBorder="1" applyAlignment="1">
      <alignment horizontal="center" vertical="center" wrapText="1"/>
    </xf>
    <xf numFmtId="37" fontId="15" fillId="13" borderId="6" xfId="0" applyNumberFormat="1" applyFont="1" applyFill="1" applyBorder="1" applyAlignment="1">
      <alignment horizontal="center" vertical="center" wrapText="1"/>
    </xf>
    <xf numFmtId="37" fontId="15" fillId="13" borderId="7" xfId="0" applyNumberFormat="1" applyFont="1" applyFill="1" applyBorder="1" applyAlignment="1">
      <alignment horizontal="center" vertical="center" wrapText="1"/>
    </xf>
    <xf numFmtId="0" fontId="24" fillId="13" borderId="5" xfId="0" applyFont="1" applyFill="1" applyBorder="1" applyAlignment="1">
      <alignment horizontal="center" vertical="center"/>
    </xf>
    <xf numFmtId="0" fontId="24" fillId="13" borderId="38" xfId="0" applyFont="1" applyFill="1" applyBorder="1" applyAlignment="1">
      <alignment horizontal="center" vertical="center"/>
    </xf>
    <xf numFmtId="0" fontId="24" fillId="13" borderId="32" xfId="0" applyFont="1" applyFill="1" applyBorder="1" applyAlignment="1">
      <alignment horizontal="center" vertical="center"/>
    </xf>
    <xf numFmtId="0" fontId="24" fillId="13" borderId="23" xfId="0" applyFont="1" applyFill="1" applyBorder="1" applyAlignment="1">
      <alignment horizontal="center" vertical="center"/>
    </xf>
    <xf numFmtId="3" fontId="15" fillId="14" borderId="5" xfId="0" applyNumberFormat="1" applyFont="1" applyFill="1" applyBorder="1" applyAlignment="1">
      <alignment horizontal="center" vertical="center"/>
    </xf>
    <xf numFmtId="3" fontId="15" fillId="14" borderId="3" xfId="0" applyNumberFormat="1" applyFont="1" applyFill="1" applyBorder="1" applyAlignment="1">
      <alignment horizontal="center" vertical="center"/>
    </xf>
    <xf numFmtId="3" fontId="18" fillId="2" borderId="21" xfId="0" applyNumberFormat="1" applyFont="1" applyFill="1" applyBorder="1" applyAlignment="1">
      <alignment horizontal="center" vertical="center"/>
    </xf>
    <xf numFmtId="3" fontId="18" fillId="2" borderId="26" xfId="0" applyNumberFormat="1" applyFont="1" applyFill="1" applyBorder="1" applyAlignment="1">
      <alignment horizontal="center" vertical="center"/>
    </xf>
    <xf numFmtId="3" fontId="18" fillId="2" borderId="38" xfId="0" applyNumberFormat="1" applyFont="1" applyFill="1" applyBorder="1" applyAlignment="1">
      <alignment horizontal="center" vertical="center"/>
    </xf>
    <xf numFmtId="3" fontId="18" fillId="13" borderId="61" xfId="0" applyNumberFormat="1" applyFont="1" applyFill="1" applyBorder="1" applyAlignment="1">
      <alignment horizontal="center" vertical="center"/>
    </xf>
    <xf numFmtId="3" fontId="18" fillId="13" borderId="45" xfId="0" applyNumberFormat="1" applyFont="1" applyFill="1" applyBorder="1" applyAlignment="1">
      <alignment horizontal="center" vertical="center"/>
    </xf>
    <xf numFmtId="3" fontId="18" fillId="13" borderId="23" xfId="0" applyNumberFormat="1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37" fontId="15" fillId="0" borderId="9" xfId="0" applyNumberFormat="1" applyFont="1" applyBorder="1" applyAlignment="1">
      <alignment horizontal="center" vertical="center"/>
    </xf>
    <xf numFmtId="37" fontId="15" fillId="0" borderId="31" xfId="0" applyNumberFormat="1" applyFont="1" applyBorder="1" applyAlignment="1">
      <alignment horizontal="center" vertical="center"/>
    </xf>
    <xf numFmtId="37" fontId="15" fillId="2" borderId="7" xfId="0" applyNumberFormat="1" applyFont="1" applyFill="1" applyBorder="1" applyAlignment="1">
      <alignment horizontal="center" vertical="center" wrapText="1"/>
    </xf>
    <xf numFmtId="37" fontId="15" fillId="2" borderId="10" xfId="0" applyNumberFormat="1" applyFont="1" applyFill="1" applyBorder="1" applyAlignment="1">
      <alignment horizontal="center" vertical="center" wrapText="1"/>
    </xf>
    <xf numFmtId="37" fontId="15" fillId="2" borderId="32" xfId="0" applyNumberFormat="1" applyFont="1" applyFill="1" applyBorder="1" applyAlignment="1">
      <alignment horizontal="center" vertical="center" wrapText="1"/>
    </xf>
    <xf numFmtId="37" fontId="15" fillId="2" borderId="2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13" borderId="8" xfId="0" applyFont="1" applyFill="1" applyBorder="1" applyAlignment="1">
      <alignment horizontal="center" vertical="center"/>
    </xf>
    <xf numFmtId="0" fontId="24" fillId="13" borderId="53" xfId="0" applyFont="1" applyFill="1" applyBorder="1" applyAlignment="1">
      <alignment horizontal="center" vertical="center"/>
    </xf>
    <xf numFmtId="0" fontId="24" fillId="13" borderId="47" xfId="0" applyFont="1" applyFill="1" applyBorder="1" applyAlignment="1">
      <alignment horizontal="center" vertical="center"/>
    </xf>
    <xf numFmtId="0" fontId="17" fillId="13" borderId="39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/>
    </xf>
    <xf numFmtId="0" fontId="17" fillId="13" borderId="23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7" fillId="13" borderId="61" xfId="0" applyFont="1" applyFill="1" applyBorder="1" applyAlignment="1">
      <alignment horizontal="center" vertical="center"/>
    </xf>
    <xf numFmtId="37" fontId="24" fillId="13" borderId="34" xfId="0" applyNumberFormat="1" applyFont="1" applyFill="1" applyBorder="1" applyAlignment="1">
      <alignment horizontal="center" vertical="center"/>
    </xf>
    <xf numFmtId="37" fontId="24" fillId="13" borderId="28" xfId="0" applyNumberFormat="1" applyFont="1" applyFill="1" applyBorder="1" applyAlignment="1">
      <alignment horizontal="center" vertical="center"/>
    </xf>
    <xf numFmtId="3" fontId="18" fillId="13" borderId="21" xfId="0" applyNumberFormat="1" applyFont="1" applyFill="1" applyBorder="1" applyAlignment="1">
      <alignment horizontal="center" vertical="center"/>
    </xf>
    <xf numFmtId="3" fontId="18" fillId="13" borderId="26" xfId="0" applyNumberFormat="1" applyFont="1" applyFill="1" applyBorder="1" applyAlignment="1">
      <alignment horizontal="center" vertical="center"/>
    </xf>
    <xf numFmtId="3" fontId="18" fillId="13" borderId="38" xfId="0" applyNumberFormat="1" applyFont="1" applyFill="1" applyBorder="1" applyAlignment="1">
      <alignment horizontal="center" vertical="center"/>
    </xf>
    <xf numFmtId="37" fontId="15" fillId="13" borderId="63" xfId="0" applyNumberFormat="1" applyFont="1" applyFill="1" applyBorder="1" applyAlignment="1">
      <alignment horizontal="center" vertical="center"/>
    </xf>
    <xf numFmtId="37" fontId="15" fillId="13" borderId="10" xfId="0" applyNumberFormat="1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2" borderId="18" xfId="0" applyFont="1" applyFill="1" applyBorder="1" applyAlignment="1">
      <alignment horizontal="right" vertical="center"/>
    </xf>
    <xf numFmtId="0" fontId="19" fillId="2" borderId="14" xfId="0" applyFont="1" applyFill="1" applyBorder="1" applyAlignment="1">
      <alignment horizontal="right" vertical="center"/>
    </xf>
    <xf numFmtId="0" fontId="19" fillId="2" borderId="15" xfId="0" applyFont="1" applyFill="1" applyBorder="1" applyAlignment="1">
      <alignment horizontal="right" vertical="center"/>
    </xf>
    <xf numFmtId="3" fontId="15" fillId="13" borderId="3" xfId="0" applyNumberFormat="1" applyFont="1" applyFill="1" applyBorder="1" applyAlignment="1">
      <alignment horizontal="center" vertical="center"/>
    </xf>
    <xf numFmtId="3" fontId="15" fillId="13" borderId="4" xfId="0" applyNumberFormat="1" applyFont="1" applyFill="1" applyBorder="1" applyAlignment="1">
      <alignment horizontal="center" vertical="center"/>
    </xf>
    <xf numFmtId="3" fontId="15" fillId="13" borderId="1" xfId="0" applyNumberFormat="1" applyFont="1" applyFill="1" applyBorder="1" applyAlignment="1">
      <alignment horizontal="center" vertical="center"/>
    </xf>
    <xf numFmtId="3" fontId="15" fillId="13" borderId="2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4" xfId="0" applyNumberFormat="1" applyFont="1" applyFill="1" applyBorder="1" applyAlignment="1">
      <alignment horizontal="center" vertical="center"/>
    </xf>
    <xf numFmtId="3" fontId="15" fillId="13" borderId="6" xfId="0" applyNumberFormat="1" applyFont="1" applyFill="1" applyBorder="1" applyAlignment="1">
      <alignment horizontal="center" vertical="center"/>
    </xf>
    <xf numFmtId="3" fontId="15" fillId="13" borderId="17" xfId="0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3" fontId="15" fillId="13" borderId="5" xfId="0" applyNumberFormat="1" applyFont="1" applyFill="1" applyBorder="1" applyAlignment="1">
      <alignment horizontal="center" vertical="center"/>
    </xf>
    <xf numFmtId="3" fontId="15" fillId="13" borderId="12" xfId="0" applyNumberFormat="1" applyFont="1" applyFill="1" applyBorder="1" applyAlignment="1">
      <alignment horizontal="center" vertical="center"/>
    </xf>
    <xf numFmtId="3" fontId="15" fillId="13" borderId="32" xfId="0" applyNumberFormat="1" applyFont="1" applyFill="1" applyBorder="1" applyAlignment="1">
      <alignment horizontal="center" vertical="center"/>
    </xf>
    <xf numFmtId="3" fontId="15" fillId="13" borderId="51" xfId="0" applyNumberFormat="1" applyFont="1" applyFill="1" applyBorder="1" applyAlignment="1">
      <alignment horizontal="center"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5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3" fontId="24" fillId="2" borderId="1" xfId="0" applyNumberFormat="1" applyFont="1" applyFill="1" applyBorder="1" applyAlignment="1">
      <alignment horizontal="center" vertical="center"/>
    </xf>
    <xf numFmtId="3" fontId="24" fillId="2" borderId="2" xfId="0" applyNumberFormat="1" applyFont="1" applyFill="1" applyBorder="1" applyAlignment="1">
      <alignment horizontal="center" vertical="center"/>
    </xf>
    <xf numFmtId="0" fontId="62" fillId="2" borderId="42" xfId="0" applyFont="1" applyFill="1" applyBorder="1" applyAlignment="1">
      <alignment horizontal="center" vertical="center"/>
    </xf>
    <xf numFmtId="0" fontId="62" fillId="2" borderId="25" xfId="0" applyFont="1" applyFill="1" applyBorder="1" applyAlignment="1">
      <alignment horizontal="center" vertical="center"/>
    </xf>
    <xf numFmtId="0" fontId="62" fillId="2" borderId="43" xfId="0" applyFont="1" applyFill="1" applyBorder="1" applyAlignment="1">
      <alignment horizontal="center" vertical="center"/>
    </xf>
    <xf numFmtId="0" fontId="24" fillId="2" borderId="46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47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13" borderId="46" xfId="0" applyFont="1" applyFill="1" applyBorder="1" applyAlignment="1">
      <alignment horizontal="center" vertical="center"/>
    </xf>
    <xf numFmtId="0" fontId="24" fillId="13" borderId="52" xfId="0" applyFont="1" applyFill="1" applyBorder="1" applyAlignment="1">
      <alignment horizontal="center" vertical="center"/>
    </xf>
    <xf numFmtId="37" fontId="15" fillId="13" borderId="9" xfId="0" applyNumberFormat="1" applyFont="1" applyFill="1" applyBorder="1" applyAlignment="1">
      <alignment horizontal="center" vertical="center"/>
    </xf>
    <xf numFmtId="37" fontId="15" fillId="13" borderId="31" xfId="0" applyNumberFormat="1" applyFont="1" applyFill="1" applyBorder="1" applyAlignment="1">
      <alignment horizontal="center" vertical="center"/>
    </xf>
    <xf numFmtId="37" fontId="15" fillId="2" borderId="9" xfId="0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3" fontId="24" fillId="2" borderId="32" xfId="0" applyNumberFormat="1" applyFont="1" applyFill="1" applyBorder="1" applyAlignment="1">
      <alignment horizontal="center" vertical="center"/>
    </xf>
    <xf numFmtId="3" fontId="24" fillId="2" borderId="51" xfId="0" applyNumberFormat="1" applyFont="1" applyFill="1" applyBorder="1" applyAlignment="1">
      <alignment horizontal="center" vertical="center"/>
    </xf>
    <xf numFmtId="3" fontId="18" fillId="14" borderId="3" xfId="0" applyNumberFormat="1" applyFont="1" applyFill="1" applyBorder="1" applyAlignment="1">
      <alignment horizontal="center" vertical="center" wrapText="1"/>
    </xf>
    <xf numFmtId="3" fontId="18" fillId="14" borderId="5" xfId="0" applyNumberFormat="1" applyFont="1" applyFill="1" applyBorder="1" applyAlignment="1">
      <alignment horizontal="center" vertical="center" wrapText="1"/>
    </xf>
    <xf numFmtId="3" fontId="24" fillId="14" borderId="5" xfId="0" applyNumberFormat="1" applyFont="1" applyFill="1" applyBorder="1" applyAlignment="1">
      <alignment horizontal="center" vertical="center" wrapText="1"/>
    </xf>
    <xf numFmtId="3" fontId="17" fillId="14" borderId="3" xfId="0" applyNumberFormat="1" applyFont="1" applyFill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3" fontId="18" fillId="2" borderId="32" xfId="0" applyNumberFormat="1" applyFont="1" applyFill="1" applyBorder="1" applyAlignment="1">
      <alignment horizontal="center" vertical="center"/>
    </xf>
    <xf numFmtId="3" fontId="15" fillId="0" borderId="34" xfId="0" applyNumberFormat="1" applyFont="1" applyBorder="1" applyAlignment="1">
      <alignment horizontal="center" vertical="center"/>
    </xf>
    <xf numFmtId="3" fontId="15" fillId="0" borderId="64" xfId="0" applyNumberFormat="1" applyFont="1" applyBorder="1" applyAlignment="1">
      <alignment horizontal="center" vertical="center"/>
    </xf>
    <xf numFmtId="0" fontId="49" fillId="20" borderId="30" xfId="0" applyFont="1" applyFill="1" applyBorder="1" applyAlignment="1">
      <alignment horizontal="center" vertical="center"/>
    </xf>
    <xf numFmtId="0" fontId="49" fillId="20" borderId="11" xfId="0" applyFont="1" applyFill="1" applyBorder="1" applyAlignment="1">
      <alignment horizontal="center" vertical="center"/>
    </xf>
    <xf numFmtId="0" fontId="49" fillId="20" borderId="16" xfId="0" applyFont="1" applyFill="1" applyBorder="1" applyAlignment="1">
      <alignment horizontal="center" vertical="center"/>
    </xf>
    <xf numFmtId="3" fontId="24" fillId="20" borderId="11" xfId="0" applyNumberFormat="1" applyFont="1" applyFill="1" applyBorder="1" applyAlignment="1">
      <alignment horizontal="center" vertical="center" wrapText="1"/>
    </xf>
    <xf numFmtId="3" fontId="18" fillId="20" borderId="11" xfId="0" applyNumberFormat="1" applyFont="1" applyFill="1" applyBorder="1" applyAlignment="1">
      <alignment horizontal="center" vertical="center" wrapText="1"/>
    </xf>
    <xf numFmtId="3" fontId="41" fillId="20" borderId="11" xfId="0" applyNumberFormat="1" applyFont="1" applyFill="1" applyBorder="1" applyAlignment="1">
      <alignment horizontal="center" vertical="center" wrapText="1"/>
    </xf>
    <xf numFmtId="3" fontId="41" fillId="20" borderId="16" xfId="0" applyNumberFormat="1" applyFont="1" applyFill="1" applyBorder="1" applyAlignment="1">
      <alignment horizontal="center" vertical="center" wrapText="1"/>
    </xf>
    <xf numFmtId="3" fontId="41" fillId="14" borderId="5" xfId="0" applyNumberFormat="1" applyFont="1" applyFill="1" applyBorder="1" applyAlignment="1">
      <alignment horizontal="center" vertical="center" wrapText="1"/>
    </xf>
    <xf numFmtId="3" fontId="41" fillId="14" borderId="12" xfId="0" applyNumberFormat="1" applyFont="1" applyFill="1" applyBorder="1" applyAlignment="1">
      <alignment horizontal="center" vertical="center" wrapText="1"/>
    </xf>
    <xf numFmtId="3" fontId="41" fillId="14" borderId="3" xfId="0" applyNumberFormat="1" applyFont="1" applyFill="1" applyBorder="1" applyAlignment="1">
      <alignment horizontal="center" vertical="center" wrapText="1"/>
    </xf>
    <xf numFmtId="3" fontId="41" fillId="14" borderId="4" xfId="0" applyNumberFormat="1" applyFont="1" applyFill="1" applyBorder="1" applyAlignment="1">
      <alignment horizontal="center" vertical="center" wrapText="1"/>
    </xf>
    <xf numFmtId="0" fontId="49" fillId="14" borderId="9" xfId="0" applyFont="1" applyFill="1" applyBorder="1" applyAlignment="1">
      <alignment horizontal="center" vertical="center"/>
    </xf>
    <xf numFmtId="0" fontId="49" fillId="14" borderId="5" xfId="0" applyFont="1" applyFill="1" applyBorder="1" applyAlignment="1">
      <alignment horizontal="center" vertical="center"/>
    </xf>
    <xf numFmtId="0" fontId="49" fillId="14" borderId="12" xfId="0" applyFont="1" applyFill="1" applyBorder="1" applyAlignment="1">
      <alignment horizontal="center" vertical="center"/>
    </xf>
    <xf numFmtId="0" fontId="49" fillId="14" borderId="10" xfId="0" applyFont="1" applyFill="1" applyBorder="1" applyAlignment="1">
      <alignment horizontal="center" vertical="center"/>
    </xf>
    <xf numFmtId="0" fontId="49" fillId="14" borderId="3" xfId="0" applyFont="1" applyFill="1" applyBorder="1" applyAlignment="1">
      <alignment horizontal="center" vertical="center"/>
    </xf>
    <xf numFmtId="0" fontId="49" fillId="14" borderId="4" xfId="0" applyFont="1" applyFill="1" applyBorder="1" applyAlignment="1">
      <alignment horizontal="center" vertical="center"/>
    </xf>
    <xf numFmtId="37" fontId="24" fillId="14" borderId="38" xfId="0" applyNumberFormat="1" applyFont="1" applyFill="1" applyBorder="1" applyAlignment="1">
      <alignment horizontal="center" vertical="center"/>
    </xf>
    <xf numFmtId="37" fontId="24" fillId="14" borderId="23" xfId="0" applyNumberFormat="1" applyFont="1" applyFill="1" applyBorder="1" applyAlignment="1">
      <alignment horizontal="center" vertical="center"/>
    </xf>
    <xf numFmtId="0" fontId="42" fillId="5" borderId="63" xfId="11" applyFont="1" applyFill="1" applyBorder="1" applyAlignment="1">
      <alignment horizontal="center" vertical="center" wrapText="1" readingOrder="2"/>
    </xf>
    <xf numFmtId="0" fontId="42" fillId="5" borderId="6" xfId="11" applyFont="1" applyFill="1" applyBorder="1" applyAlignment="1">
      <alignment horizontal="center" vertical="center" wrapText="1" readingOrder="2"/>
    </xf>
    <xf numFmtId="0" fontId="42" fillId="5" borderId="59" xfId="11" applyFont="1" applyFill="1" applyBorder="1" applyAlignment="1">
      <alignment horizontal="center" vertical="center" wrapText="1" readingOrder="2"/>
    </xf>
    <xf numFmtId="0" fontId="42" fillId="5" borderId="1" xfId="11" applyFont="1" applyFill="1" applyBorder="1" applyAlignment="1">
      <alignment horizontal="center" vertical="center" wrapText="1" readingOrder="2"/>
    </xf>
    <xf numFmtId="0" fontId="42" fillId="5" borderId="32" xfId="11" applyFont="1" applyFill="1" applyBorder="1" applyAlignment="1">
      <alignment horizontal="center" vertical="center" wrapText="1" readingOrder="2"/>
    </xf>
    <xf numFmtId="0" fontId="36" fillId="0" borderId="1" xfId="7" applyFont="1" applyBorder="1" applyAlignment="1">
      <alignment horizontal="center" vertical="center"/>
    </xf>
    <xf numFmtId="0" fontId="36" fillId="0" borderId="2" xfId="7" applyFont="1" applyBorder="1" applyAlignment="1">
      <alignment horizontal="center" vertical="center"/>
    </xf>
    <xf numFmtId="0" fontId="40" fillId="0" borderId="5" xfId="7" applyFont="1" applyBorder="1" applyAlignment="1">
      <alignment horizontal="center" vertical="center"/>
    </xf>
    <xf numFmtId="0" fontId="40" fillId="0" borderId="12" xfId="7" applyFont="1" applyBorder="1" applyAlignment="1">
      <alignment horizontal="center" vertical="center"/>
    </xf>
    <xf numFmtId="0" fontId="37" fillId="0" borderId="9" xfId="7" applyFont="1" applyBorder="1" applyAlignment="1">
      <alignment horizontal="center" vertical="center"/>
    </xf>
    <xf numFmtId="0" fontId="37" fillId="0" borderId="5" xfId="7" applyFont="1" applyBorder="1" applyAlignment="1">
      <alignment horizontal="center" vertical="center"/>
    </xf>
    <xf numFmtId="0" fontId="37" fillId="0" borderId="7" xfId="7" applyFont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0" fontId="37" fillId="0" borderId="10" xfId="7" applyFont="1" applyBorder="1" applyAlignment="1">
      <alignment horizontal="center" vertical="center"/>
    </xf>
    <xf numFmtId="0" fontId="37" fillId="0" borderId="3" xfId="7" applyFont="1" applyBorder="1" applyAlignment="1">
      <alignment horizontal="center" vertical="center"/>
    </xf>
    <xf numFmtId="0" fontId="36" fillId="0" borderId="3" xfId="7" applyFont="1" applyBorder="1" applyAlignment="1">
      <alignment horizontal="center" vertical="center"/>
    </xf>
    <xf numFmtId="0" fontId="36" fillId="0" borderId="4" xfId="7" applyFont="1" applyBorder="1" applyAlignment="1">
      <alignment horizontal="center" vertical="center"/>
    </xf>
    <xf numFmtId="0" fontId="30" fillId="0" borderId="18" xfId="11" applyFont="1" applyBorder="1" applyAlignment="1">
      <alignment horizontal="center" vertical="center"/>
    </xf>
    <xf numFmtId="0" fontId="30" fillId="0" borderId="14" xfId="11" applyFont="1" applyBorder="1" applyAlignment="1">
      <alignment horizontal="center" vertical="center"/>
    </xf>
    <xf numFmtId="0" fontId="30" fillId="0" borderId="44" xfId="11" applyFont="1" applyBorder="1" applyAlignment="1">
      <alignment horizontal="center" vertical="center"/>
    </xf>
    <xf numFmtId="3" fontId="43" fillId="0" borderId="13" xfId="11" applyNumberFormat="1" applyFont="1" applyBorder="1" applyAlignment="1">
      <alignment horizontal="center" vertical="center" wrapText="1" readingOrder="2"/>
    </xf>
    <xf numFmtId="3" fontId="43" fillId="0" borderId="15" xfId="11" applyNumberFormat="1" applyFont="1" applyBorder="1" applyAlignment="1">
      <alignment horizontal="center" vertical="center" wrapText="1" readingOrder="2"/>
    </xf>
    <xf numFmtId="0" fontId="42" fillId="5" borderId="22" xfId="11" applyFont="1" applyFill="1" applyBorder="1" applyAlignment="1">
      <alignment horizontal="center" vertical="center" wrapText="1" readingOrder="2"/>
    </xf>
    <xf numFmtId="0" fontId="42" fillId="5" borderId="33" xfId="11" applyFont="1" applyFill="1" applyBorder="1" applyAlignment="1">
      <alignment horizontal="center" vertical="center" wrapText="1" readingOrder="2"/>
    </xf>
    <xf numFmtId="0" fontId="42" fillId="5" borderId="7" xfId="11" applyFont="1" applyFill="1" applyBorder="1" applyAlignment="1">
      <alignment horizontal="center" vertical="center" wrapText="1" readingOrder="2"/>
    </xf>
    <xf numFmtId="0" fontId="42" fillId="5" borderId="31" xfId="11" applyFont="1" applyFill="1" applyBorder="1" applyAlignment="1">
      <alignment horizontal="center" vertical="center" wrapText="1" readingOrder="2"/>
    </xf>
    <xf numFmtId="0" fontId="42" fillId="5" borderId="28" xfId="11" applyFont="1" applyFill="1" applyBorder="1" applyAlignment="1">
      <alignment horizontal="center" vertical="center" wrapText="1" readingOrder="2"/>
    </xf>
    <xf numFmtId="0" fontId="10" fillId="0" borderId="4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 wrapText="1"/>
    </xf>
    <xf numFmtId="3" fontId="17" fillId="3" borderId="22" xfId="0" applyNumberFormat="1" applyFont="1" applyFill="1" applyBorder="1" applyAlignment="1">
      <alignment horizontal="center" vertical="center" wrapText="1"/>
    </xf>
    <xf numFmtId="3" fontId="17" fillId="3" borderId="65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32" xfId="0" applyFont="1" applyFill="1" applyBorder="1" applyAlignment="1">
      <alignment horizontal="center" vertical="center" wrapText="1"/>
    </xf>
    <xf numFmtId="3" fontId="17" fillId="2" borderId="5" xfId="0" applyNumberFormat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 readingOrder="2"/>
    </xf>
    <xf numFmtId="0" fontId="17" fillId="3" borderId="12" xfId="0" applyFont="1" applyFill="1" applyBorder="1" applyAlignment="1">
      <alignment horizontal="center" vertical="center" wrapText="1" readingOrder="2"/>
    </xf>
    <xf numFmtId="0" fontId="17" fillId="3" borderId="32" xfId="0" applyFont="1" applyFill="1" applyBorder="1" applyAlignment="1">
      <alignment horizontal="center" vertical="center"/>
    </xf>
    <xf numFmtId="0" fontId="17" fillId="3" borderId="5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3" fontId="17" fillId="2" borderId="12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3" fontId="17" fillId="2" borderId="5" xfId="0" applyNumberFormat="1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3" fontId="17" fillId="2" borderId="2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 readingOrder="2"/>
    </xf>
    <xf numFmtId="3" fontId="17" fillId="2" borderId="21" xfId="0" applyNumberFormat="1" applyFont="1" applyFill="1" applyBorder="1" applyAlignment="1">
      <alignment horizontal="center" vertical="center" wrapText="1" readingOrder="2"/>
    </xf>
    <xf numFmtId="3" fontId="17" fillId="2" borderId="26" xfId="0" applyNumberFormat="1" applyFont="1" applyFill="1" applyBorder="1" applyAlignment="1">
      <alignment horizontal="center" vertical="center" wrapText="1" readingOrder="2"/>
    </xf>
    <xf numFmtId="3" fontId="17" fillId="2" borderId="38" xfId="0" applyNumberFormat="1" applyFont="1" applyFill="1" applyBorder="1" applyAlignment="1">
      <alignment horizontal="center" vertical="center" wrapText="1" readingOrder="2"/>
    </xf>
    <xf numFmtId="0" fontId="17" fillId="3" borderId="1" xfId="0" applyFont="1" applyFill="1" applyBorder="1" applyAlignment="1">
      <alignment horizontal="center" vertical="center" wrapText="1" readingOrder="2"/>
    </xf>
    <xf numFmtId="3" fontId="17" fillId="3" borderId="22" xfId="0" applyNumberFormat="1" applyFont="1" applyFill="1" applyBorder="1" applyAlignment="1">
      <alignment horizontal="center" vertical="center" wrapText="1" readingOrder="2"/>
    </xf>
    <xf numFmtId="3" fontId="17" fillId="3" borderId="65" xfId="0" applyNumberFormat="1" applyFont="1" applyFill="1" applyBorder="1" applyAlignment="1">
      <alignment horizontal="center" vertical="center" wrapText="1" readingOrder="2"/>
    </xf>
    <xf numFmtId="3" fontId="17" fillId="3" borderId="8" xfId="0" applyNumberFormat="1" applyFont="1" applyFill="1" applyBorder="1" applyAlignment="1">
      <alignment horizontal="center" vertical="center" wrapText="1" readingOrder="2"/>
    </xf>
    <xf numFmtId="0" fontId="17" fillId="2" borderId="1" xfId="0" applyFont="1" applyFill="1" applyBorder="1" applyAlignment="1">
      <alignment horizontal="center" vertical="center" wrapText="1" readingOrder="2"/>
    </xf>
    <xf numFmtId="3" fontId="17" fillId="2" borderId="22" xfId="0" applyNumberFormat="1" applyFont="1" applyFill="1" applyBorder="1" applyAlignment="1">
      <alignment horizontal="center" vertical="center" wrapText="1" readingOrder="2"/>
    </xf>
    <xf numFmtId="3" fontId="17" fillId="2" borderId="65" xfId="0" applyNumberFormat="1" applyFont="1" applyFill="1" applyBorder="1" applyAlignment="1">
      <alignment horizontal="center" vertical="center" wrapText="1" readingOrder="2"/>
    </xf>
    <xf numFmtId="3" fontId="17" fillId="2" borderId="8" xfId="0" applyNumberFormat="1" applyFont="1" applyFill="1" applyBorder="1" applyAlignment="1">
      <alignment horizontal="center" vertical="center" wrapText="1" readingOrder="2"/>
    </xf>
    <xf numFmtId="3" fontId="17" fillId="2" borderId="1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/>
    </xf>
    <xf numFmtId="3" fontId="17" fillId="3" borderId="3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 applyProtection="1">
      <alignment horizontal="center" vertical="center" readingOrder="2"/>
      <protection locked="0"/>
    </xf>
    <xf numFmtId="0" fontId="15" fillId="3" borderId="15" xfId="0" applyFont="1" applyFill="1" applyBorder="1" applyAlignment="1" applyProtection="1">
      <alignment horizontal="center" vertical="center" readingOrder="2"/>
      <protection locked="0"/>
    </xf>
    <xf numFmtId="0" fontId="16" fillId="0" borderId="6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5" fillId="0" borderId="24" xfId="0" applyFont="1" applyBorder="1" applyAlignment="1" applyProtection="1">
      <alignment horizontal="center" vertical="center" readingOrder="2"/>
      <protection locked="0"/>
    </xf>
    <xf numFmtId="0" fontId="15" fillId="0" borderId="40" xfId="0" applyFont="1" applyBorder="1" applyAlignment="1" applyProtection="1">
      <alignment horizontal="center" vertical="center" readingOrder="2"/>
      <protection locked="0"/>
    </xf>
    <xf numFmtId="3" fontId="17" fillId="2" borderId="11" xfId="0" applyNumberFormat="1" applyFont="1" applyFill="1" applyBorder="1" applyAlignment="1">
      <alignment horizontal="center" vertical="center"/>
    </xf>
    <xf numFmtId="3" fontId="17" fillId="2" borderId="16" xfId="0" applyNumberFormat="1" applyFont="1" applyFill="1" applyBorder="1" applyAlignment="1">
      <alignment horizontal="center" vertical="center"/>
    </xf>
    <xf numFmtId="0" fontId="15" fillId="0" borderId="33" xfId="0" applyFont="1" applyBorder="1" applyAlignment="1" applyProtection="1">
      <alignment horizontal="center" vertical="center" readingOrder="2"/>
      <protection locked="0"/>
    </xf>
    <xf numFmtId="0" fontId="15" fillId="0" borderId="36" xfId="0" applyFont="1" applyBorder="1" applyAlignment="1" applyProtection="1">
      <alignment horizontal="center" vertical="center" readingOrder="2"/>
      <protection locked="0"/>
    </xf>
    <xf numFmtId="0" fontId="17" fillId="2" borderId="55" xfId="0" applyFont="1" applyFill="1" applyBorder="1" applyAlignment="1">
      <alignment horizontal="center" vertical="center" wrapText="1" readingOrder="2"/>
    </xf>
    <xf numFmtId="0" fontId="17" fillId="2" borderId="28" xfId="0" applyFont="1" applyFill="1" applyBorder="1" applyAlignment="1">
      <alignment horizontal="center" vertical="center" wrapText="1" readingOrder="2"/>
    </xf>
    <xf numFmtId="4" fontId="17" fillId="2" borderId="28" xfId="0" applyNumberFormat="1" applyFont="1" applyFill="1" applyBorder="1" applyAlignment="1">
      <alignment horizontal="center" vertical="center"/>
    </xf>
    <xf numFmtId="4" fontId="17" fillId="2" borderId="56" xfId="0" applyNumberFormat="1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 wrapText="1" readingOrder="2"/>
    </xf>
    <xf numFmtId="0" fontId="17" fillId="2" borderId="11" xfId="0" applyFont="1" applyFill="1" applyBorder="1" applyAlignment="1">
      <alignment horizontal="center" vertical="center" wrapText="1" readingOrder="2"/>
    </xf>
    <xf numFmtId="0" fontId="17" fillId="3" borderId="34" xfId="0" applyFont="1" applyFill="1" applyBorder="1" applyAlignment="1">
      <alignment horizontal="center" vertical="center" wrapText="1" readingOrder="2"/>
    </xf>
    <xf numFmtId="0" fontId="17" fillId="3" borderId="28" xfId="0" applyFont="1" applyFill="1" applyBorder="1" applyAlignment="1">
      <alignment horizontal="center" vertical="center" wrapText="1" readingOrder="2"/>
    </xf>
    <xf numFmtId="0" fontId="17" fillId="3" borderId="9" xfId="0" applyFont="1" applyFill="1" applyBorder="1" applyAlignment="1">
      <alignment horizontal="center" vertical="center" wrapText="1" readingOrder="2"/>
    </xf>
    <xf numFmtId="0" fontId="17" fillId="3" borderId="31" xfId="0" applyFont="1" applyFill="1" applyBorder="1" applyAlignment="1">
      <alignment horizontal="center" vertical="center" wrapText="1" readingOrder="2"/>
    </xf>
    <xf numFmtId="0" fontId="17" fillId="3" borderId="32" xfId="0" applyFont="1" applyFill="1" applyBorder="1" applyAlignment="1">
      <alignment horizontal="center" vertical="center" wrapText="1" readingOrder="2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 readingOrder="2"/>
    </xf>
    <xf numFmtId="3" fontId="17" fillId="3" borderId="3" xfId="0" applyNumberFormat="1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/>
    </xf>
    <xf numFmtId="0" fontId="36" fillId="0" borderId="9" xfId="3" applyFont="1" applyBorder="1" applyAlignment="1">
      <alignment horizontal="center" vertical="center"/>
    </xf>
    <xf numFmtId="0" fontId="36" fillId="0" borderId="5" xfId="3" applyFont="1" applyBorder="1" applyAlignment="1">
      <alignment horizontal="center" vertical="center"/>
    </xf>
    <xf numFmtId="0" fontId="36" fillId="0" borderId="10" xfId="3" applyFont="1" applyBorder="1" applyAlignment="1">
      <alignment horizontal="center" vertical="center"/>
    </xf>
    <xf numFmtId="0" fontId="36" fillId="0" borderId="3" xfId="3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12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28" fillId="2" borderId="21" xfId="4" applyFont="1" applyFill="1" applyBorder="1" applyAlignment="1">
      <alignment horizontal="center" vertical="center" wrapText="1"/>
    </xf>
    <xf numFmtId="0" fontId="28" fillId="2" borderId="38" xfId="4" applyFont="1" applyFill="1" applyBorder="1" applyAlignment="1">
      <alignment horizontal="center" vertical="center" wrapText="1"/>
    </xf>
    <xf numFmtId="3" fontId="33" fillId="2" borderId="61" xfId="4" applyNumberFormat="1" applyFont="1" applyFill="1" applyBorder="1" applyAlignment="1">
      <alignment horizontal="center" vertical="center"/>
    </xf>
    <xf numFmtId="3" fontId="33" fillId="2" borderId="23" xfId="4" applyNumberFormat="1" applyFont="1" applyFill="1" applyBorder="1" applyAlignment="1">
      <alignment horizontal="center" vertical="center"/>
    </xf>
    <xf numFmtId="0" fontId="31" fillId="3" borderId="18" xfId="4" applyFont="1" applyFill="1" applyBorder="1" applyAlignment="1">
      <alignment horizontal="center" vertical="center"/>
    </xf>
    <xf numFmtId="0" fontId="31" fillId="3" borderId="14" xfId="4" applyFont="1" applyFill="1" applyBorder="1" applyAlignment="1">
      <alignment horizontal="center" vertical="center"/>
    </xf>
    <xf numFmtId="0" fontId="31" fillId="3" borderId="15" xfId="4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 readingOrder="2"/>
    </xf>
    <xf numFmtId="3" fontId="16" fillId="2" borderId="1" xfId="0" applyNumberFormat="1" applyFont="1" applyFill="1" applyBorder="1" applyAlignment="1">
      <alignment horizontal="center" vertical="center" readingOrder="2"/>
    </xf>
    <xf numFmtId="0" fontId="16" fillId="2" borderId="1" xfId="0" applyFont="1" applyFill="1" applyBorder="1" applyAlignment="1">
      <alignment horizontal="center" vertical="center" wrapText="1" readingOrder="2"/>
    </xf>
    <xf numFmtId="3" fontId="16" fillId="2" borderId="1" xfId="0" applyNumberFormat="1" applyFont="1" applyFill="1" applyBorder="1" applyAlignment="1">
      <alignment horizontal="center" vertical="center" wrapText="1" readingOrder="2"/>
    </xf>
    <xf numFmtId="3" fontId="16" fillId="2" borderId="2" xfId="0" applyNumberFormat="1" applyFont="1" applyFill="1" applyBorder="1" applyAlignment="1">
      <alignment horizontal="center" vertical="center" wrapText="1" readingOrder="2"/>
    </xf>
    <xf numFmtId="0" fontId="22" fillId="2" borderId="3" xfId="0" applyFont="1" applyFill="1" applyBorder="1" applyAlignment="1">
      <alignment horizontal="center" vertical="center" wrapText="1" readingOrder="2"/>
    </xf>
    <xf numFmtId="0" fontId="50" fillId="3" borderId="49" xfId="0" applyFont="1" applyFill="1" applyBorder="1" applyAlignment="1">
      <alignment horizontal="center" vertical="center"/>
    </xf>
    <xf numFmtId="0" fontId="50" fillId="3" borderId="45" xfId="0" applyFont="1" applyFill="1" applyBorder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3" fontId="16" fillId="3" borderId="3" xfId="0" applyNumberFormat="1" applyFont="1" applyFill="1" applyBorder="1" applyAlignment="1">
      <alignment horizontal="center" vertical="center" wrapText="1" readingOrder="2"/>
    </xf>
    <xf numFmtId="3" fontId="16" fillId="3" borderId="4" xfId="0" applyNumberFormat="1" applyFont="1" applyFill="1" applyBorder="1" applyAlignment="1">
      <alignment horizontal="center" vertical="center" wrapText="1" readingOrder="2"/>
    </xf>
    <xf numFmtId="3" fontId="16" fillId="2" borderId="3" xfId="0" applyNumberFormat="1" applyFont="1" applyFill="1" applyBorder="1" applyAlignment="1">
      <alignment horizontal="center" vertical="center" readingOrder="2"/>
    </xf>
    <xf numFmtId="0" fontId="16" fillId="2" borderId="3" xfId="0" applyFont="1" applyFill="1" applyBorder="1" applyAlignment="1">
      <alignment horizontal="center" vertical="center" wrapText="1" readingOrder="2"/>
    </xf>
    <xf numFmtId="3" fontId="16" fillId="2" borderId="3" xfId="0" applyNumberFormat="1" applyFont="1" applyFill="1" applyBorder="1" applyAlignment="1">
      <alignment horizontal="center" vertical="center" wrapText="1" readingOrder="2"/>
    </xf>
    <xf numFmtId="3" fontId="16" fillId="2" borderId="4" xfId="0" applyNumberFormat="1" applyFont="1" applyFill="1" applyBorder="1" applyAlignment="1">
      <alignment horizontal="center" vertical="center" wrapText="1" readingOrder="2"/>
    </xf>
    <xf numFmtId="0" fontId="22" fillId="2" borderId="5" xfId="0" applyFont="1" applyFill="1" applyBorder="1" applyAlignment="1">
      <alignment horizontal="center" vertical="center" wrapText="1" readingOrder="2"/>
    </xf>
    <xf numFmtId="3" fontId="16" fillId="2" borderId="5" xfId="0" applyNumberFormat="1" applyFont="1" applyFill="1" applyBorder="1" applyAlignment="1">
      <alignment horizontal="center" vertical="center" readingOrder="2"/>
    </xf>
    <xf numFmtId="0" fontId="16" fillId="2" borderId="5" xfId="0" applyFont="1" applyFill="1" applyBorder="1" applyAlignment="1">
      <alignment horizontal="center" vertical="center" wrapText="1" readingOrder="2"/>
    </xf>
    <xf numFmtId="3" fontId="16" fillId="2" borderId="5" xfId="0" applyNumberFormat="1" applyFont="1" applyFill="1" applyBorder="1" applyAlignment="1">
      <alignment horizontal="center" vertical="center" wrapText="1" readingOrder="2"/>
    </xf>
    <xf numFmtId="3" fontId="16" fillId="2" borderId="12" xfId="0" applyNumberFormat="1" applyFont="1" applyFill="1" applyBorder="1" applyAlignment="1">
      <alignment horizontal="center" vertical="center" wrapText="1" readingOrder="2"/>
    </xf>
    <xf numFmtId="0" fontId="16" fillId="3" borderId="34" xfId="0" applyFont="1" applyFill="1" applyBorder="1" applyAlignment="1">
      <alignment horizontal="center" vertical="center" readingOrder="2"/>
    </xf>
    <xf numFmtId="0" fontId="16" fillId="3" borderId="34" xfId="0" applyFont="1" applyFill="1" applyBorder="1" applyAlignment="1">
      <alignment horizontal="center" vertical="center" wrapText="1" readingOrder="2"/>
    </xf>
    <xf numFmtId="0" fontId="16" fillId="3" borderId="50" xfId="0" applyFont="1" applyFill="1" applyBorder="1" applyAlignment="1">
      <alignment horizontal="center" vertical="center" wrapText="1" readingOrder="2"/>
    </xf>
  </cellXfs>
  <cellStyles count="15">
    <cellStyle name="Comma 2" xfId="6"/>
    <cellStyle name="Comma 2 2" xfId="8"/>
    <cellStyle name="Comma 3" xfId="10"/>
    <cellStyle name="Comma 4" xfId="12"/>
    <cellStyle name="Normal" xfId="0" builtinId="0"/>
    <cellStyle name="Normal 2" xfId="1"/>
    <cellStyle name="Normal 2 2" xfId="13"/>
    <cellStyle name="Normal 3" xfId="4"/>
    <cellStyle name="Normal 3 2 4" xfId="3"/>
    <cellStyle name="Normal 4" xfId="2"/>
    <cellStyle name="Normal 5" xfId="5"/>
    <cellStyle name="Normal 5 2" xfId="7"/>
    <cellStyle name="Normal 6" xfId="9"/>
    <cellStyle name="Normal 7" xfId="11"/>
    <cellStyle name="Normal 8" xfId="14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91286785" y="8658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2</xdr:col>
      <xdr:colOff>138545</xdr:colOff>
      <xdr:row>43</xdr:row>
      <xdr:rowOff>17319</xdr:rowOff>
    </xdr:from>
    <xdr:to>
      <xdr:col>2</xdr:col>
      <xdr:colOff>1437408</xdr:colOff>
      <xdr:row>43</xdr:row>
      <xdr:rowOff>917864</xdr:rowOff>
    </xdr:to>
    <xdr:sp macro="" textlink="">
      <xdr:nvSpPr>
        <xdr:cNvPr id="3" name="Up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40792228" y="15950046"/>
          <a:ext cx="1298863" cy="90054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34636</xdr:colOff>
      <xdr:row>43</xdr:row>
      <xdr:rowOff>1</xdr:rowOff>
    </xdr:from>
    <xdr:to>
      <xdr:col>4</xdr:col>
      <xdr:colOff>1333499</xdr:colOff>
      <xdr:row>43</xdr:row>
      <xdr:rowOff>900546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937657637" y="15932728"/>
          <a:ext cx="1298863" cy="90054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103908</xdr:colOff>
      <xdr:row>43</xdr:row>
      <xdr:rowOff>17319</xdr:rowOff>
    </xdr:from>
    <xdr:to>
      <xdr:col>3</xdr:col>
      <xdr:colOff>1402771</xdr:colOff>
      <xdr:row>43</xdr:row>
      <xdr:rowOff>917864</xdr:rowOff>
    </xdr:to>
    <xdr:sp macro="" textlink="">
      <xdr:nvSpPr>
        <xdr:cNvPr id="5" name="Up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939216274" y="15950046"/>
          <a:ext cx="1298863" cy="90054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9</xdr:col>
      <xdr:colOff>952499</xdr:colOff>
      <xdr:row>43</xdr:row>
      <xdr:rowOff>1</xdr:rowOff>
    </xdr:from>
    <xdr:to>
      <xdr:col>12</xdr:col>
      <xdr:colOff>138544</xdr:colOff>
      <xdr:row>43</xdr:row>
      <xdr:rowOff>952500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932046547" y="15932728"/>
          <a:ext cx="1298863" cy="952499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16</xdr:col>
      <xdr:colOff>363680</xdr:colOff>
      <xdr:row>43</xdr:row>
      <xdr:rowOff>1</xdr:rowOff>
    </xdr:from>
    <xdr:to>
      <xdr:col>16</xdr:col>
      <xdr:colOff>1662543</xdr:colOff>
      <xdr:row>43</xdr:row>
      <xdr:rowOff>952500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926296911" y="15932728"/>
          <a:ext cx="1298863" cy="952499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1385455</xdr:colOff>
      <xdr:row>43</xdr:row>
      <xdr:rowOff>13854</xdr:rowOff>
    </xdr:from>
    <xdr:to>
      <xdr:col>6</xdr:col>
      <xdr:colOff>65809</xdr:colOff>
      <xdr:row>43</xdr:row>
      <xdr:rowOff>914399</xdr:rowOff>
    </xdr:to>
    <xdr:sp macro="" textlink="">
      <xdr:nvSpPr>
        <xdr:cNvPr id="9" name="Up Arrow 3">
          <a:extLst>
            <a:ext uri="{FF2B5EF4-FFF2-40B4-BE49-F238E27FC236}">
              <a16:creationId xmlns:a16="http://schemas.microsoft.com/office/drawing/2014/main" id="{1E4BBF90-C877-4150-A6EF-DAEFFC5FC134}"/>
            </a:ext>
          </a:extLst>
        </xdr:cNvPr>
        <xdr:cNvSpPr/>
      </xdr:nvSpPr>
      <xdr:spPr>
        <a:xfrm>
          <a:off x="10221055828" y="16292945"/>
          <a:ext cx="1298863" cy="900545"/>
        </a:xfrm>
        <a:prstGeom prst="up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241378</xdr:colOff>
      <xdr:row>18</xdr:row>
      <xdr:rowOff>159879</xdr:rowOff>
    </xdr:from>
    <xdr:ext cx="347661" cy="4276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10305422861" y="12199479"/>
              <a:ext cx="347661" cy="4276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1" i="1">
                            <a:latin typeface="Cambria Math" panose="02040503050406030204" pitchFamily="18" charset="0"/>
                          </a:rPr>
                          <m:t>𝑬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10305422861" y="12199479"/>
              <a:ext cx="347661" cy="4276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 rtl="1"/>
              <a:r>
                <a:rPr lang="en-US" sz="2000" b="1" i="0">
                  <a:latin typeface="Cambria Math" panose="02040503050406030204" pitchFamily="18" charset="0"/>
                </a:rPr>
                <a:t>𝑬_</a:t>
              </a:r>
              <a:r>
                <a:rPr lang="en-US" sz="2000" b="0" i="0">
                  <a:latin typeface="Cambria Math" panose="02040503050406030204" pitchFamily="18" charset="0"/>
                </a:rPr>
                <a:t>𝑏</a:t>
              </a:r>
              <a:endParaRPr lang="en-US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-52221846</xdr:colOff>
      <xdr:row>4</xdr:row>
      <xdr:rowOff>0</xdr:rowOff>
    </xdr:from>
    <xdr:ext cx="1748871" cy="2000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SpPr txBox="1"/>
          </xdr:nvSpPr>
          <xdr:spPr>
            <a:xfrm flipH="1">
              <a:off x="10047398625" y="2876550"/>
              <a:ext cx="1748871" cy="2000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>
                        <a:latin typeface="Cambria Math" panose="02040503050406030204" pitchFamily="18" charset="0"/>
                      </a:rPr>
                      <m:t>100</m:t>
                    </m:r>
                    <m:r>
                      <a:rPr lang="en-US" sz="1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</m:t>
                    </m:r>
                    <m:r>
                      <a:rPr lang="en-US" sz="1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×(</m:t>
                    </m:r>
                    <m:f>
                      <m:fPr>
                        <m:type m:val="skw"/>
                        <m:ctrlPr>
                          <a:rPr lang="fa-IR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num>
                      <m:den>
                        <m:r>
                          <a:rPr lang="en-US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1000</m:t>
                        </m:r>
                      </m:den>
                    </m:f>
                    <m:sSup>
                      <m:sSupPr>
                        <m:ctrlPr>
                          <a:rPr lang="en-US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a-IR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  <m:r>
                          <a:rPr lang="en-US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7</m:t>
                        </m:r>
                      </m:sup>
                    </m:sSup>
                  </m:oMath>
                </m:oMathPara>
              </a14:m>
              <a:endParaRPr lang="en-US" sz="1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 flipH="1">
              <a:off x="10047398625" y="2876550"/>
              <a:ext cx="1748871" cy="2000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000" b="0" i="0">
                  <a:latin typeface="Cambria Math" panose="02040503050406030204" pitchFamily="18" charset="0"/>
                </a:rPr>
                <a:t>100</a:t>
              </a:r>
              <a:r>
                <a:rPr lang="en-US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×𝑟×(𝑌</a:t>
              </a:r>
              <a:r>
                <a:rPr lang="fa-I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⁄</a:t>
              </a:r>
              <a:r>
                <a:rPr lang="en-US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1000 </a:t>
              </a:r>
              <a:r>
                <a:rPr lang="fa-I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^0.7</a:t>
              </a:r>
              <a:endParaRPr lang="en-US" sz="1000"/>
            </a:p>
          </xdr:txBody>
        </xdr:sp>
      </mc:Fallback>
    </mc:AlternateContent>
    <xdr:clientData/>
  </xdr:oneCellAnchor>
  <xdr:oneCellAnchor>
    <xdr:from>
      <xdr:col>4</xdr:col>
      <xdr:colOff>1359715</xdr:colOff>
      <xdr:row>5</xdr:row>
      <xdr:rowOff>921885</xdr:rowOff>
    </xdr:from>
    <xdr:ext cx="1378323" cy="2162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SpPr txBox="1"/>
          </xdr:nvSpPr>
          <xdr:spPr>
            <a:xfrm>
              <a:off x="10035060747" y="3983492"/>
              <a:ext cx="1378323" cy="216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𝑫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𝑷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</m:e>
                      <m:sub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𝒂</m:t>
                        </m:r>
                      </m:sub>
                    </m:sSub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0035060747" y="3983492"/>
              <a:ext cx="1378323" cy="2162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 rtl="1"/>
              <a:r>
                <a:rPr lang="en-US" sz="1100" b="1" i="0">
                  <a:latin typeface="Cambria Math" panose="02040503050406030204" pitchFamily="18" charset="0"/>
                </a:rPr>
                <a:t>𝑫=𝑷</a:t>
              </a:r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×𝑩_𝒂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4</xdr:col>
      <xdr:colOff>365786</xdr:colOff>
      <xdr:row>5</xdr:row>
      <xdr:rowOff>775608</xdr:rowOff>
    </xdr:from>
    <xdr:ext cx="706462" cy="3507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 txBox="1"/>
          </xdr:nvSpPr>
          <xdr:spPr>
            <a:xfrm>
              <a:off x="10036726537" y="3837215"/>
              <a:ext cx="706462" cy="3507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𝑭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𝑪</m:t>
                        </m:r>
                      </m:den>
                    </m:f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0036726537" y="3837215"/>
              <a:ext cx="706462" cy="3507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 rtl="1"/>
              <a:r>
                <a:rPr lang="en-US" sz="1200" b="1" i="0">
                  <a:latin typeface="Cambria Math" panose="02040503050406030204" pitchFamily="18" charset="0"/>
                </a:rPr>
                <a:t>𝑷=𝑭/𝑪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1340217</xdr:colOff>
      <xdr:row>8</xdr:row>
      <xdr:rowOff>653066</xdr:rowOff>
    </xdr:from>
    <xdr:ext cx="3095625" cy="1666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 txBox="1"/>
          </xdr:nvSpPr>
          <xdr:spPr>
            <a:xfrm flipH="1">
              <a:off x="10267849091" y="5665333"/>
              <a:ext cx="3095625" cy="1666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𝟖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𝑭</m:t>
                        </m:r>
                      </m:e>
                      <m:sup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𝟎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000" b="1" i="1">
                            <a:latin typeface="Cambria Math" panose="02040503050406030204" pitchFamily="18" charset="0"/>
                          </a:rPr>
                          <m:t>𝟔𝟒</m:t>
                        </m:r>
                      </m:sup>
                    </m:sSup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𝒒</m:t>
                    </m:r>
                    <m:r>
                      <a:rPr lang="fa-IR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𝒓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𝒌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  <m:r>
                      <a:rPr lang="en-US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.</m:t>
                    </m:r>
                    <m:r>
                      <a:rPr lang="fa-IR" sz="10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𝟓𝟕𝟐</m:t>
                    </m:r>
                  </m:oMath>
                </m:oMathPara>
              </a14:m>
              <a:endParaRPr lang="en-US" sz="1000" b="1" i="1"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="" xmlns:a16="http://schemas.microsoft.com/office/drawing/2014/main" xmlns:a14="http://schemas.microsoft.com/office/drawing/2010/main" id="{00000000-0008-0000-0500-000009000000}"/>
                </a:ext>
              </a:extLst>
            </xdr:cNvPr>
            <xdr:cNvSpPr txBox="1"/>
          </xdr:nvSpPr>
          <xdr:spPr>
            <a:xfrm flipH="1">
              <a:off x="10267849091" y="5665333"/>
              <a:ext cx="3095625" cy="1666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 rtl="1"/>
              <a:r>
                <a:rPr lang="en-US" sz="1000" b="1" i="0">
                  <a:latin typeface="Cambria Math" panose="02040503050406030204" pitchFamily="18" charset="0"/>
                </a:rPr>
                <a:t>〖𝟖𝑭〗^(𝟎.𝟔𝟒)</a:t>
              </a:r>
              <a:r>
                <a:rPr lang="en-US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×𝒒</a:t>
              </a:r>
              <a:r>
                <a:rPr lang="fa-IR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en-US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𝒓</a:t>
              </a:r>
              <a:r>
                <a:rPr lang="en-US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×𝒌×𝟏.</a:t>
              </a:r>
              <a:r>
                <a:rPr lang="fa-IR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𝟓𝟕𝟐</a:t>
              </a:r>
              <a:endParaRPr lang="en-US" sz="1000" b="1" i="1"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R45"/>
  <sheetViews>
    <sheetView rightToLeft="1" view="pageBreakPreview" zoomScale="55" zoomScaleNormal="100" zoomScaleSheetLayoutView="55" workbookViewId="0">
      <selection activeCell="Q42" sqref="Q42"/>
    </sheetView>
  </sheetViews>
  <sheetFormatPr defaultColWidth="9.1796875" defaultRowHeight="14"/>
  <cols>
    <col min="1" max="1" width="10.1796875" style="119" customWidth="1"/>
    <col min="2" max="2" width="53.54296875" style="117" customWidth="1"/>
    <col min="3" max="3" width="24.1796875" style="117" customWidth="1"/>
    <col min="4" max="4" width="24.26953125" style="117" customWidth="1"/>
    <col min="5" max="5" width="22.81640625" style="117" customWidth="1"/>
    <col min="6" max="6" width="15.453125" style="117" customWidth="1"/>
    <col min="7" max="7" width="15.7265625" style="117" customWidth="1"/>
    <col min="8" max="8" width="15.7265625" style="115" customWidth="1"/>
    <col min="9" max="9" width="15.7265625" style="118" customWidth="1"/>
    <col min="10" max="10" width="15.7265625" style="114" customWidth="1"/>
    <col min="11" max="15" width="15.7265625" style="116" customWidth="1"/>
    <col min="16" max="16" width="15.7265625" style="113" customWidth="1"/>
    <col min="17" max="17" width="31" style="113" customWidth="1"/>
    <col min="18" max="26" width="15.7265625" style="113" customWidth="1"/>
    <col min="27" max="16384" width="9.1796875" style="113"/>
  </cols>
  <sheetData>
    <row r="1" spans="1:18" ht="63" customHeight="1" thickBot="1">
      <c r="A1" s="284" t="s">
        <v>189</v>
      </c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7"/>
    </row>
    <row r="2" spans="1:18" s="116" customFormat="1" ht="90" customHeight="1" thickBot="1">
      <c r="A2" s="190" t="s">
        <v>2</v>
      </c>
      <c r="B2" s="191" t="s">
        <v>136</v>
      </c>
      <c r="C2" s="189" t="s">
        <v>167</v>
      </c>
      <c r="D2" s="189" t="s">
        <v>138</v>
      </c>
      <c r="E2" s="189" t="s">
        <v>137</v>
      </c>
      <c r="F2" s="229" t="s">
        <v>194</v>
      </c>
      <c r="G2" s="241" t="s">
        <v>140</v>
      </c>
      <c r="H2" s="242"/>
      <c r="I2" s="242"/>
      <c r="J2" s="242"/>
      <c r="K2" s="242"/>
      <c r="L2" s="242"/>
      <c r="M2" s="242"/>
      <c r="N2" s="242"/>
      <c r="O2" s="242"/>
      <c r="P2" s="243"/>
      <c r="Q2" s="192" t="s">
        <v>168</v>
      </c>
      <c r="R2" s="163" t="s">
        <v>163</v>
      </c>
    </row>
    <row r="3" spans="1:18" s="114" customFormat="1" ht="15" customHeight="1">
      <c r="A3" s="300">
        <v>1</v>
      </c>
      <c r="B3" s="244" t="s">
        <v>120</v>
      </c>
      <c r="C3" s="246"/>
      <c r="D3" s="246"/>
      <c r="E3" s="246"/>
      <c r="F3" s="316">
        <v>0.2</v>
      </c>
      <c r="G3" s="211">
        <v>2</v>
      </c>
      <c r="H3" s="134">
        <v>3</v>
      </c>
      <c r="I3" s="134">
        <v>4</v>
      </c>
      <c r="J3" s="134">
        <v>8</v>
      </c>
      <c r="K3" s="134">
        <v>9</v>
      </c>
      <c r="L3" s="134">
        <v>12</v>
      </c>
      <c r="M3" s="134">
        <v>14</v>
      </c>
      <c r="N3" s="134">
        <v>15</v>
      </c>
      <c r="O3" s="134">
        <v>16</v>
      </c>
      <c r="P3" s="135">
        <v>17</v>
      </c>
      <c r="Q3" s="288">
        <f>D3-(1-F3)*E3-0.6*(G4+H4+I4+J4+K4+N4+O4+P4)-0.8*M4-0.5*L4</f>
        <v>0</v>
      </c>
      <c r="R3" s="162"/>
    </row>
    <row r="4" spans="1:18" s="114" customFormat="1" ht="40" customHeight="1" thickBot="1">
      <c r="A4" s="301"/>
      <c r="B4" s="245"/>
      <c r="C4" s="247"/>
      <c r="D4" s="247"/>
      <c r="E4" s="247"/>
      <c r="F4" s="317"/>
      <c r="G4" s="164"/>
      <c r="H4" s="164"/>
      <c r="I4" s="164"/>
      <c r="J4" s="164"/>
      <c r="K4" s="164"/>
      <c r="L4" s="164"/>
      <c r="M4" s="164"/>
      <c r="N4" s="164"/>
      <c r="O4" s="164"/>
      <c r="P4" s="173"/>
      <c r="Q4" s="289"/>
      <c r="R4" s="162"/>
    </row>
    <row r="5" spans="1:18" ht="15" customHeight="1">
      <c r="A5" s="302">
        <v>2</v>
      </c>
      <c r="B5" s="248" t="s">
        <v>125</v>
      </c>
      <c r="C5" s="262">
        <v>62585074025</v>
      </c>
      <c r="D5" s="262">
        <v>59455820323.75</v>
      </c>
      <c r="E5" s="262"/>
      <c r="F5" s="318">
        <v>0.2</v>
      </c>
      <c r="G5" s="212">
        <v>9</v>
      </c>
      <c r="H5" s="136">
        <v>12</v>
      </c>
      <c r="I5" s="136">
        <v>14</v>
      </c>
      <c r="J5" s="136">
        <v>15</v>
      </c>
      <c r="K5" s="136">
        <v>17</v>
      </c>
      <c r="L5" s="136">
        <v>18</v>
      </c>
      <c r="M5" s="79"/>
      <c r="N5" s="79"/>
      <c r="O5" s="79"/>
      <c r="P5" s="165"/>
      <c r="Q5" s="290">
        <f>D5-(1-F5)*E5-0.8*(I6+J6+K6+L6)-0.8*H6-0.5*G6</f>
        <v>33164223759.75</v>
      </c>
    </row>
    <row r="6" spans="1:18" ht="40" customHeight="1" thickBot="1">
      <c r="A6" s="303"/>
      <c r="B6" s="249"/>
      <c r="C6" s="263"/>
      <c r="D6" s="263"/>
      <c r="E6" s="263"/>
      <c r="F6" s="319"/>
      <c r="G6" s="213"/>
      <c r="H6" s="168">
        <v>16520025430</v>
      </c>
      <c r="I6" s="168">
        <v>6758222055</v>
      </c>
      <c r="J6" s="168">
        <v>9586248220</v>
      </c>
      <c r="K6" s="168"/>
      <c r="L6" s="168"/>
      <c r="M6" s="169"/>
      <c r="N6" s="169"/>
      <c r="O6" s="169"/>
      <c r="P6" s="170"/>
      <c r="Q6" s="291"/>
    </row>
    <row r="7" spans="1:18" ht="15" customHeight="1">
      <c r="A7" s="304">
        <v>3</v>
      </c>
      <c r="B7" s="250" t="s">
        <v>134</v>
      </c>
      <c r="C7" s="264"/>
      <c r="D7" s="264"/>
      <c r="E7" s="264"/>
      <c r="F7" s="320">
        <v>0.2</v>
      </c>
      <c r="G7" s="214">
        <v>12</v>
      </c>
      <c r="H7" s="137">
        <v>14</v>
      </c>
      <c r="I7" s="137">
        <v>15</v>
      </c>
      <c r="J7" s="137">
        <v>16</v>
      </c>
      <c r="K7" s="137">
        <v>17</v>
      </c>
      <c r="L7" s="137">
        <v>18</v>
      </c>
      <c r="M7" s="79"/>
      <c r="N7" s="79"/>
      <c r="O7" s="79"/>
      <c r="P7" s="165"/>
      <c r="Q7" s="292">
        <f>D7-(1-F7)*E7-0.8*(I8+J8+K8+L8)-0.8*H8-0.5*G8</f>
        <v>0</v>
      </c>
    </row>
    <row r="8" spans="1:18" ht="40" customHeight="1" thickBot="1">
      <c r="A8" s="305"/>
      <c r="B8" s="251"/>
      <c r="C8" s="265"/>
      <c r="D8" s="265"/>
      <c r="E8" s="265"/>
      <c r="F8" s="321"/>
      <c r="G8" s="215"/>
      <c r="H8" s="120"/>
      <c r="I8" s="120"/>
      <c r="J8" s="120"/>
      <c r="K8" s="120"/>
      <c r="L8" s="120"/>
      <c r="M8" s="166"/>
      <c r="N8" s="166"/>
      <c r="O8" s="166"/>
      <c r="P8" s="167"/>
      <c r="Q8" s="293"/>
    </row>
    <row r="9" spans="1:18" ht="15" customHeight="1">
      <c r="A9" s="276">
        <v>4</v>
      </c>
      <c r="B9" s="252" t="s">
        <v>121</v>
      </c>
      <c r="C9" s="266"/>
      <c r="D9" s="266"/>
      <c r="E9" s="266"/>
      <c r="F9" s="322">
        <v>0.2</v>
      </c>
      <c r="G9" s="216">
        <v>9</v>
      </c>
      <c r="H9" s="208">
        <v>11</v>
      </c>
      <c r="I9" s="208">
        <v>12</v>
      </c>
      <c r="J9" s="208">
        <v>13</v>
      </c>
      <c r="K9" s="208">
        <v>14</v>
      </c>
      <c r="L9" s="209"/>
      <c r="M9" s="209"/>
      <c r="N9" s="209"/>
      <c r="O9" s="209"/>
      <c r="P9" s="210"/>
      <c r="Q9" s="294">
        <f>D9-(1-F9)*E9-0.8*(I10+J10+K10)-0.8*H10-0.5*G10</f>
        <v>0</v>
      </c>
    </row>
    <row r="10" spans="1:18" ht="40" customHeight="1" thickBot="1">
      <c r="A10" s="277"/>
      <c r="B10" s="253"/>
      <c r="C10" s="267"/>
      <c r="D10" s="267"/>
      <c r="E10" s="267"/>
      <c r="F10" s="323"/>
      <c r="G10" s="217"/>
      <c r="H10" s="121"/>
      <c r="I10" s="121"/>
      <c r="J10" s="121"/>
      <c r="K10" s="121"/>
      <c r="L10" s="166"/>
      <c r="M10" s="166"/>
      <c r="N10" s="166"/>
      <c r="O10" s="166"/>
      <c r="P10" s="167"/>
      <c r="Q10" s="295"/>
    </row>
    <row r="11" spans="1:18" ht="15" customHeight="1">
      <c r="A11" s="278">
        <v>5</v>
      </c>
      <c r="B11" s="254" t="s">
        <v>123</v>
      </c>
      <c r="C11" s="282"/>
      <c r="D11" s="282"/>
      <c r="E11" s="282"/>
      <c r="F11" s="324">
        <v>0.2</v>
      </c>
      <c r="G11" s="218">
        <v>10</v>
      </c>
      <c r="H11" s="138">
        <v>15</v>
      </c>
      <c r="I11" s="138">
        <v>17</v>
      </c>
      <c r="J11" s="138">
        <v>18</v>
      </c>
      <c r="K11" s="138">
        <v>20</v>
      </c>
      <c r="L11" s="79"/>
      <c r="M11" s="79"/>
      <c r="N11" s="79"/>
      <c r="O11" s="79"/>
      <c r="P11" s="165"/>
      <c r="Q11" s="296">
        <f>D11-(1-F11)*E11-0.8*(I12+J12)-0.8*K12-0.5*G12-0.55*H12</f>
        <v>0</v>
      </c>
    </row>
    <row r="12" spans="1:18" ht="40" customHeight="1" thickBot="1">
      <c r="A12" s="279"/>
      <c r="B12" s="255"/>
      <c r="C12" s="283"/>
      <c r="D12" s="283"/>
      <c r="E12" s="283"/>
      <c r="F12" s="325"/>
      <c r="G12" s="219"/>
      <c r="H12" s="122"/>
      <c r="I12" s="122"/>
      <c r="J12" s="122"/>
      <c r="K12" s="122"/>
      <c r="L12" s="166"/>
      <c r="M12" s="166"/>
      <c r="N12" s="166"/>
      <c r="O12" s="166"/>
      <c r="P12" s="167"/>
      <c r="Q12" s="297"/>
    </row>
    <row r="13" spans="1:18" ht="15.65" customHeight="1">
      <c r="A13" s="274">
        <v>6</v>
      </c>
      <c r="B13" s="268" t="s">
        <v>184</v>
      </c>
      <c r="C13" s="270"/>
      <c r="D13" s="270"/>
      <c r="E13" s="270"/>
      <c r="F13" s="326">
        <v>0.2</v>
      </c>
      <c r="G13" s="220">
        <v>10</v>
      </c>
      <c r="H13" s="197">
        <v>15</v>
      </c>
      <c r="I13" s="197">
        <v>17</v>
      </c>
      <c r="J13" s="197">
        <v>20</v>
      </c>
      <c r="K13" s="197">
        <v>22</v>
      </c>
      <c r="L13" s="79"/>
      <c r="M13" s="79"/>
      <c r="N13" s="79"/>
      <c r="O13" s="79"/>
      <c r="P13" s="165"/>
      <c r="Q13" s="237">
        <f>D13-(1-F13)*E13-0.8*(I14+K14)-0.8*J14-0.5*G14-0.65*H14</f>
        <v>0</v>
      </c>
    </row>
    <row r="14" spans="1:18" ht="40" customHeight="1" thickBot="1">
      <c r="A14" s="275"/>
      <c r="B14" s="269"/>
      <c r="C14" s="271"/>
      <c r="D14" s="271"/>
      <c r="E14" s="271"/>
      <c r="F14" s="327"/>
      <c r="G14" s="221"/>
      <c r="H14" s="198"/>
      <c r="I14" s="198"/>
      <c r="J14" s="198"/>
      <c r="K14" s="198"/>
      <c r="L14" s="166"/>
      <c r="M14" s="166"/>
      <c r="N14" s="166"/>
      <c r="O14" s="166"/>
      <c r="P14" s="167"/>
      <c r="Q14" s="238"/>
    </row>
    <row r="15" spans="1:18" ht="15" customHeight="1">
      <c r="A15" s="280">
        <v>7</v>
      </c>
      <c r="B15" s="256" t="s">
        <v>124</v>
      </c>
      <c r="C15" s="260">
        <v>130852497020</v>
      </c>
      <c r="D15" s="260">
        <v>104681997616</v>
      </c>
      <c r="E15" s="260"/>
      <c r="F15" s="328">
        <v>0.2</v>
      </c>
      <c r="G15" s="222">
        <v>10</v>
      </c>
      <c r="H15" s="139">
        <v>15</v>
      </c>
      <c r="I15" s="139">
        <v>17</v>
      </c>
      <c r="J15" s="139">
        <v>20</v>
      </c>
      <c r="K15" s="139">
        <v>22</v>
      </c>
      <c r="L15" s="79"/>
      <c r="M15" s="79"/>
      <c r="N15" s="79"/>
      <c r="O15" s="79"/>
      <c r="P15" s="165"/>
      <c r="Q15" s="237">
        <f>D15-(1-F15)*E15-0.8*(I16+K16)-0.8*J16-0.5*G16-0.55*H16</f>
        <v>95061353910.399994</v>
      </c>
    </row>
    <row r="16" spans="1:18" ht="40" customHeight="1" thickBot="1">
      <c r="A16" s="281"/>
      <c r="B16" s="257"/>
      <c r="C16" s="261"/>
      <c r="D16" s="261"/>
      <c r="E16" s="261"/>
      <c r="F16" s="329"/>
      <c r="G16" s="223"/>
      <c r="H16" s="123"/>
      <c r="I16" s="123"/>
      <c r="J16" s="123">
        <v>12025804632</v>
      </c>
      <c r="K16" s="123"/>
      <c r="L16" s="166"/>
      <c r="M16" s="166"/>
      <c r="N16" s="166"/>
      <c r="O16" s="166"/>
      <c r="P16" s="167"/>
      <c r="Q16" s="238"/>
    </row>
    <row r="17" spans="1:17" ht="15" customHeight="1">
      <c r="A17" s="239">
        <v>8</v>
      </c>
      <c r="B17" s="272" t="s">
        <v>135</v>
      </c>
      <c r="C17" s="258"/>
      <c r="D17" s="258"/>
      <c r="E17" s="258"/>
      <c r="F17" s="330">
        <v>0.2</v>
      </c>
      <c r="G17" s="224">
        <v>10</v>
      </c>
      <c r="H17" s="199">
        <v>14</v>
      </c>
      <c r="I17" s="199">
        <v>15</v>
      </c>
      <c r="J17" s="79"/>
      <c r="K17" s="79"/>
      <c r="L17" s="79"/>
      <c r="M17" s="79"/>
      <c r="N17" s="79"/>
      <c r="O17" s="79"/>
      <c r="P17" s="165"/>
      <c r="Q17" s="298">
        <f>D17-(1-F17)*E17-0.8*(H18+I18)-0.5*G18</f>
        <v>0</v>
      </c>
    </row>
    <row r="18" spans="1:17" ht="40" customHeight="1" thickBot="1">
      <c r="A18" s="240"/>
      <c r="B18" s="273"/>
      <c r="C18" s="259"/>
      <c r="D18" s="259"/>
      <c r="E18" s="259"/>
      <c r="F18" s="331"/>
      <c r="G18" s="225"/>
      <c r="H18" s="200"/>
      <c r="I18" s="200"/>
      <c r="J18" s="166"/>
      <c r="K18" s="166"/>
      <c r="L18" s="166"/>
      <c r="M18" s="166"/>
      <c r="N18" s="166"/>
      <c r="O18" s="166"/>
      <c r="P18" s="167"/>
      <c r="Q18" s="299"/>
    </row>
    <row r="19" spans="1:17" ht="15" customHeight="1">
      <c r="A19" s="239">
        <v>9</v>
      </c>
      <c r="B19" s="272" t="s">
        <v>122</v>
      </c>
      <c r="C19" s="258"/>
      <c r="D19" s="258"/>
      <c r="E19" s="258"/>
      <c r="F19" s="330">
        <v>0.2</v>
      </c>
      <c r="G19" s="222">
        <v>5</v>
      </c>
      <c r="H19" s="171">
        <v>10</v>
      </c>
      <c r="I19" s="79"/>
      <c r="J19" s="79"/>
      <c r="K19" s="79"/>
      <c r="L19" s="79"/>
      <c r="M19" s="79"/>
      <c r="N19" s="79"/>
      <c r="O19" s="79"/>
      <c r="P19" s="165"/>
      <c r="Q19" s="298">
        <f>D19-(1-F19)*E19-0.8*H20-0.5*G20</f>
        <v>0</v>
      </c>
    </row>
    <row r="20" spans="1:17" ht="40" customHeight="1" thickBot="1">
      <c r="A20" s="240"/>
      <c r="B20" s="273"/>
      <c r="C20" s="259"/>
      <c r="D20" s="259"/>
      <c r="E20" s="259"/>
      <c r="F20" s="331"/>
      <c r="G20" s="223"/>
      <c r="H20" s="172"/>
      <c r="I20" s="166"/>
      <c r="J20" s="166"/>
      <c r="K20" s="166"/>
      <c r="L20" s="166"/>
      <c r="M20" s="166"/>
      <c r="N20" s="166"/>
      <c r="O20" s="166"/>
      <c r="P20" s="167"/>
      <c r="Q20" s="299"/>
    </row>
    <row r="21" spans="1:17" ht="15" customHeight="1">
      <c r="A21" s="239">
        <v>10</v>
      </c>
      <c r="B21" s="272" t="s">
        <v>119</v>
      </c>
      <c r="C21" s="258">
        <v>108505072511</v>
      </c>
      <c r="D21" s="258">
        <v>86804058009</v>
      </c>
      <c r="E21" s="258"/>
      <c r="F21" s="330">
        <v>0.2</v>
      </c>
      <c r="G21" s="222">
        <v>9</v>
      </c>
      <c r="H21" s="171">
        <v>28</v>
      </c>
      <c r="I21" s="79"/>
      <c r="J21" s="79"/>
      <c r="K21" s="79"/>
      <c r="L21" s="79"/>
      <c r="M21" s="79"/>
      <c r="N21" s="79"/>
      <c r="O21" s="79"/>
      <c r="P21" s="165"/>
      <c r="Q21" s="298">
        <f>D21-(1-F21)*E21-0.8*H22-0.5*G22</f>
        <v>84041990713</v>
      </c>
    </row>
    <row r="22" spans="1:17" ht="40" customHeight="1" thickBot="1">
      <c r="A22" s="240"/>
      <c r="B22" s="273"/>
      <c r="C22" s="259"/>
      <c r="D22" s="259"/>
      <c r="E22" s="259"/>
      <c r="F22" s="331"/>
      <c r="G22" s="223"/>
      <c r="H22" s="172">
        <v>3452584120</v>
      </c>
      <c r="I22" s="166"/>
      <c r="J22" s="166"/>
      <c r="K22" s="166"/>
      <c r="L22" s="166"/>
      <c r="M22" s="166"/>
      <c r="N22" s="166"/>
      <c r="O22" s="166"/>
      <c r="P22" s="167"/>
      <c r="Q22" s="299"/>
    </row>
    <row r="23" spans="1:17" ht="15" customHeight="1">
      <c r="A23" s="239">
        <v>11</v>
      </c>
      <c r="B23" s="272" t="s">
        <v>126</v>
      </c>
      <c r="C23" s="258"/>
      <c r="D23" s="258"/>
      <c r="E23" s="258"/>
      <c r="F23" s="330">
        <v>0.2</v>
      </c>
      <c r="G23" s="222">
        <v>8</v>
      </c>
      <c r="H23" s="171">
        <v>15</v>
      </c>
      <c r="I23" s="79"/>
      <c r="J23" s="79"/>
      <c r="K23" s="79"/>
      <c r="L23" s="79"/>
      <c r="M23" s="79"/>
      <c r="N23" s="79"/>
      <c r="O23" s="79"/>
      <c r="P23" s="165"/>
      <c r="Q23" s="298">
        <f>D23-(1-F23)*E23-0.8*H24-0.5*G24</f>
        <v>0</v>
      </c>
    </row>
    <row r="24" spans="1:17" ht="40" customHeight="1" thickBot="1">
      <c r="A24" s="240"/>
      <c r="B24" s="273"/>
      <c r="C24" s="259"/>
      <c r="D24" s="259"/>
      <c r="E24" s="259"/>
      <c r="F24" s="331"/>
      <c r="G24" s="223"/>
      <c r="H24" s="172"/>
      <c r="I24" s="166"/>
      <c r="J24" s="166"/>
      <c r="K24" s="166"/>
      <c r="L24" s="166"/>
      <c r="M24" s="166"/>
      <c r="N24" s="166"/>
      <c r="O24" s="166"/>
      <c r="P24" s="167"/>
      <c r="Q24" s="299"/>
    </row>
    <row r="25" spans="1:17" ht="15" customHeight="1">
      <c r="A25" s="239">
        <v>12</v>
      </c>
      <c r="B25" s="272" t="s">
        <v>127</v>
      </c>
      <c r="C25" s="258"/>
      <c r="D25" s="258"/>
      <c r="E25" s="258"/>
      <c r="F25" s="330">
        <v>0.2</v>
      </c>
      <c r="G25" s="222">
        <v>7</v>
      </c>
      <c r="H25" s="171">
        <v>11</v>
      </c>
      <c r="I25" s="79"/>
      <c r="J25" s="79"/>
      <c r="K25" s="79"/>
      <c r="L25" s="79"/>
      <c r="M25" s="79"/>
      <c r="N25" s="79"/>
      <c r="O25" s="79"/>
      <c r="P25" s="165"/>
      <c r="Q25" s="298">
        <f>D25-(1-F25)*E25-0.8*H26-0.5*G26</f>
        <v>0</v>
      </c>
    </row>
    <row r="26" spans="1:17" ht="40" customHeight="1" thickBot="1">
      <c r="A26" s="240"/>
      <c r="B26" s="273"/>
      <c r="C26" s="259"/>
      <c r="D26" s="259"/>
      <c r="E26" s="259"/>
      <c r="F26" s="331"/>
      <c r="G26" s="223"/>
      <c r="H26" s="172"/>
      <c r="I26" s="166"/>
      <c r="J26" s="166"/>
      <c r="K26" s="166"/>
      <c r="L26" s="166"/>
      <c r="M26" s="166"/>
      <c r="N26" s="166"/>
      <c r="O26" s="166"/>
      <c r="P26" s="167"/>
      <c r="Q26" s="299"/>
    </row>
    <row r="27" spans="1:17" ht="15" customHeight="1">
      <c r="A27" s="239">
        <v>13</v>
      </c>
      <c r="B27" s="272" t="s">
        <v>132</v>
      </c>
      <c r="C27" s="258"/>
      <c r="D27" s="258"/>
      <c r="E27" s="258"/>
      <c r="F27" s="330">
        <v>0.2</v>
      </c>
      <c r="G27" s="226"/>
      <c r="H27" s="79"/>
      <c r="I27" s="79"/>
      <c r="J27" s="79"/>
      <c r="K27" s="79"/>
      <c r="L27" s="79"/>
      <c r="M27" s="79"/>
      <c r="N27" s="79"/>
      <c r="O27" s="79"/>
      <c r="P27" s="165"/>
      <c r="Q27" s="310">
        <f>0.5*(D27-E27)+F27*E27</f>
        <v>0</v>
      </c>
    </row>
    <row r="28" spans="1:17" ht="40" customHeight="1" thickBot="1">
      <c r="A28" s="240"/>
      <c r="B28" s="273"/>
      <c r="C28" s="259"/>
      <c r="D28" s="259"/>
      <c r="E28" s="259"/>
      <c r="F28" s="331"/>
      <c r="G28" s="227"/>
      <c r="H28" s="166"/>
      <c r="I28" s="166"/>
      <c r="J28" s="166"/>
      <c r="K28" s="166"/>
      <c r="L28" s="166"/>
      <c r="M28" s="166"/>
      <c r="N28" s="166"/>
      <c r="O28" s="166"/>
      <c r="P28" s="167"/>
      <c r="Q28" s="311"/>
    </row>
    <row r="29" spans="1:17" ht="15" customHeight="1">
      <c r="A29" s="239">
        <v>14</v>
      </c>
      <c r="B29" s="272" t="s">
        <v>133</v>
      </c>
      <c r="C29" s="258"/>
      <c r="D29" s="258"/>
      <c r="E29" s="258"/>
      <c r="F29" s="330">
        <v>0.2</v>
      </c>
      <c r="G29" s="226"/>
      <c r="H29" s="79"/>
      <c r="I29" s="79"/>
      <c r="J29" s="79"/>
      <c r="K29" s="79"/>
      <c r="L29" s="79"/>
      <c r="M29" s="79"/>
      <c r="N29" s="79"/>
      <c r="O29" s="79"/>
      <c r="P29" s="165"/>
      <c r="Q29" s="310">
        <f>0.5*(D29-E29)+F29*E29</f>
        <v>0</v>
      </c>
    </row>
    <row r="30" spans="1:17" ht="40" customHeight="1" thickBot="1">
      <c r="A30" s="240"/>
      <c r="B30" s="273"/>
      <c r="C30" s="259"/>
      <c r="D30" s="259"/>
      <c r="E30" s="259"/>
      <c r="F30" s="331"/>
      <c r="G30" s="227"/>
      <c r="H30" s="166"/>
      <c r="I30" s="166"/>
      <c r="J30" s="166"/>
      <c r="K30" s="166"/>
      <c r="L30" s="166"/>
      <c r="M30" s="166"/>
      <c r="N30" s="166"/>
      <c r="O30" s="166"/>
      <c r="P30" s="167"/>
      <c r="Q30" s="311"/>
    </row>
    <row r="31" spans="1:17" ht="15" customHeight="1">
      <c r="A31" s="239">
        <v>15</v>
      </c>
      <c r="B31" s="272" t="s">
        <v>128</v>
      </c>
      <c r="C31" s="258"/>
      <c r="D31" s="258"/>
      <c r="E31" s="258"/>
      <c r="F31" s="330">
        <v>0.2</v>
      </c>
      <c r="G31" s="228">
        <v>6</v>
      </c>
      <c r="H31" s="201">
        <v>7</v>
      </c>
      <c r="I31" s="79"/>
      <c r="J31" s="79"/>
      <c r="K31" s="79"/>
      <c r="L31" s="79"/>
      <c r="M31" s="79"/>
      <c r="N31" s="79"/>
      <c r="O31" s="79"/>
      <c r="P31" s="165"/>
      <c r="Q31" s="298">
        <f>D31-(1-F31)*E31-0.5*(G32+H32)</f>
        <v>0</v>
      </c>
    </row>
    <row r="32" spans="1:17" ht="40" customHeight="1" thickBot="1">
      <c r="A32" s="240"/>
      <c r="B32" s="273"/>
      <c r="C32" s="259"/>
      <c r="D32" s="259"/>
      <c r="E32" s="259"/>
      <c r="F32" s="331"/>
      <c r="G32" s="223"/>
      <c r="H32" s="172"/>
      <c r="I32" s="166"/>
      <c r="J32" s="166"/>
      <c r="K32" s="166"/>
      <c r="L32" s="166"/>
      <c r="M32" s="166"/>
      <c r="N32" s="166"/>
      <c r="O32" s="166"/>
      <c r="P32" s="167"/>
      <c r="Q32" s="299"/>
    </row>
    <row r="33" spans="1:18" ht="15" customHeight="1">
      <c r="A33" s="239">
        <v>16</v>
      </c>
      <c r="B33" s="272" t="s">
        <v>131</v>
      </c>
      <c r="C33" s="258"/>
      <c r="D33" s="258"/>
      <c r="E33" s="258"/>
      <c r="F33" s="330">
        <v>0.2</v>
      </c>
      <c r="G33" s="226"/>
      <c r="H33" s="79"/>
      <c r="I33" s="79"/>
      <c r="J33" s="79"/>
      <c r="K33" s="79"/>
      <c r="L33" s="79"/>
      <c r="M33" s="79"/>
      <c r="N33" s="79"/>
      <c r="O33" s="79"/>
      <c r="P33" s="165"/>
      <c r="Q33" s="298">
        <f>D33-(1-F33)*E33-0.8*(SUM(G34:P34))</f>
        <v>0</v>
      </c>
    </row>
    <row r="34" spans="1:18" ht="40" customHeight="1" thickBot="1">
      <c r="A34" s="240"/>
      <c r="B34" s="273"/>
      <c r="C34" s="259"/>
      <c r="D34" s="259"/>
      <c r="E34" s="259"/>
      <c r="F34" s="331"/>
      <c r="G34" s="227"/>
      <c r="H34" s="166"/>
      <c r="I34" s="166"/>
      <c r="J34" s="166"/>
      <c r="K34" s="166"/>
      <c r="L34" s="166"/>
      <c r="M34" s="166"/>
      <c r="N34" s="166"/>
      <c r="O34" s="166"/>
      <c r="P34" s="167"/>
      <c r="Q34" s="299"/>
    </row>
    <row r="35" spans="1:18" ht="15" customHeight="1">
      <c r="A35" s="239">
        <v>17</v>
      </c>
      <c r="B35" s="272" t="s">
        <v>130</v>
      </c>
      <c r="C35" s="258"/>
      <c r="D35" s="258"/>
      <c r="E35" s="258"/>
      <c r="F35" s="330">
        <v>0.2</v>
      </c>
      <c r="G35" s="226"/>
      <c r="H35" s="79"/>
      <c r="I35" s="79"/>
      <c r="J35" s="79"/>
      <c r="K35" s="79"/>
      <c r="L35" s="79"/>
      <c r="M35" s="79"/>
      <c r="N35" s="79"/>
      <c r="O35" s="79"/>
      <c r="P35" s="165"/>
      <c r="Q35" s="298">
        <f>D35-(1-F35)*E35-0.8*(SUM(G36:P36))</f>
        <v>0</v>
      </c>
    </row>
    <row r="36" spans="1:18" ht="40" customHeight="1" thickBot="1">
      <c r="A36" s="240"/>
      <c r="B36" s="273"/>
      <c r="C36" s="259"/>
      <c r="D36" s="259"/>
      <c r="E36" s="259"/>
      <c r="F36" s="339"/>
      <c r="G36" s="227"/>
      <c r="H36" s="166"/>
      <c r="I36" s="166"/>
      <c r="J36" s="166"/>
      <c r="K36" s="166"/>
      <c r="L36" s="166"/>
      <c r="M36" s="166"/>
      <c r="N36" s="166"/>
      <c r="O36" s="166"/>
      <c r="P36" s="167"/>
      <c r="Q36" s="299"/>
    </row>
    <row r="37" spans="1:18" ht="15" customHeight="1">
      <c r="A37" s="239">
        <v>18</v>
      </c>
      <c r="B37" s="272" t="s">
        <v>129</v>
      </c>
      <c r="C37" s="258"/>
      <c r="D37" s="258"/>
      <c r="E37" s="258"/>
      <c r="F37" s="340">
        <v>0.2</v>
      </c>
      <c r="G37" s="226"/>
      <c r="H37" s="79"/>
      <c r="I37" s="79"/>
      <c r="J37" s="79"/>
      <c r="K37" s="79"/>
      <c r="L37" s="79"/>
      <c r="M37" s="79"/>
      <c r="N37" s="79"/>
      <c r="O37" s="79"/>
      <c r="P37" s="165"/>
      <c r="Q37" s="298">
        <f>D37-(1-F37)*E37-0.8*(SUM(G38:P38))</f>
        <v>0</v>
      </c>
    </row>
    <row r="38" spans="1:18" ht="40" customHeight="1" thickBot="1">
      <c r="A38" s="240"/>
      <c r="B38" s="315"/>
      <c r="C38" s="259"/>
      <c r="D38" s="259"/>
      <c r="E38" s="259"/>
      <c r="F38" s="340"/>
      <c r="G38" s="235"/>
      <c r="H38" s="169"/>
      <c r="I38" s="169"/>
      <c r="J38" s="169"/>
      <c r="K38" s="169"/>
      <c r="L38" s="169"/>
      <c r="M38" s="169"/>
      <c r="N38" s="169"/>
      <c r="O38" s="169"/>
      <c r="P38" s="170"/>
      <c r="Q38" s="299"/>
    </row>
    <row r="39" spans="1:18" ht="18" customHeight="1">
      <c r="A39" s="335">
        <v>19</v>
      </c>
      <c r="B39" s="333" t="s">
        <v>201</v>
      </c>
      <c r="C39" s="259"/>
      <c r="D39" s="259"/>
      <c r="E39" s="259"/>
      <c r="F39" s="337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98">
        <f>D39-(1-F39)*E39-0.8*(SUM(G40:P40))</f>
        <v>0</v>
      </c>
    </row>
    <row r="40" spans="1:18" ht="64.5" customHeight="1" thickBot="1">
      <c r="A40" s="336"/>
      <c r="B40" s="334"/>
      <c r="C40" s="332"/>
      <c r="D40" s="332"/>
      <c r="E40" s="332"/>
      <c r="F40" s="338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99"/>
    </row>
    <row r="41" spans="1:18" ht="46.5" customHeight="1" thickBot="1">
      <c r="A41" s="312" t="s">
        <v>169</v>
      </c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4"/>
      <c r="Q41" s="193">
        <f>SUM(Q3:Q40)</f>
        <v>212267568383.14999</v>
      </c>
      <c r="R41" s="163" t="s">
        <v>101</v>
      </c>
    </row>
    <row r="42" spans="1:18" ht="48.75" customHeight="1" thickBot="1">
      <c r="A42" s="306" t="s">
        <v>170</v>
      </c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8"/>
      <c r="Q42" s="194">
        <v>199476918944.47</v>
      </c>
      <c r="R42" s="163" t="s">
        <v>157</v>
      </c>
    </row>
    <row r="43" spans="1:18" ht="51.75" customHeight="1" thickBot="1">
      <c r="A43" s="306" t="s">
        <v>143</v>
      </c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8"/>
      <c r="Q43" s="194">
        <f>Q41-Q42</f>
        <v>12790649438.679993</v>
      </c>
      <c r="R43" s="163" t="s">
        <v>101</v>
      </c>
    </row>
    <row r="44" spans="1:18" ht="78" customHeight="1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</row>
    <row r="45" spans="1:18" ht="273" customHeight="1">
      <c r="C45" s="161" t="s">
        <v>156</v>
      </c>
      <c r="D45" s="161" t="s">
        <v>155</v>
      </c>
      <c r="E45" s="161" t="s">
        <v>154</v>
      </c>
      <c r="F45" s="161" t="s">
        <v>195</v>
      </c>
      <c r="G45" s="309" t="s">
        <v>153</v>
      </c>
      <c r="H45" s="309"/>
      <c r="I45" s="309"/>
      <c r="J45" s="309"/>
      <c r="K45" s="309"/>
      <c r="L45" s="309"/>
      <c r="M45" s="309"/>
      <c r="N45" s="309"/>
      <c r="O45" s="309"/>
      <c r="P45" s="309"/>
      <c r="Q45" s="161" t="s">
        <v>101</v>
      </c>
    </row>
  </sheetData>
  <mergeCells count="139">
    <mergeCell ref="Q39:Q40"/>
    <mergeCell ref="C39:C40"/>
    <mergeCell ref="D39:D40"/>
    <mergeCell ref="B39:B40"/>
    <mergeCell ref="A39:A40"/>
    <mergeCell ref="E39:E40"/>
    <mergeCell ref="F39:F4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D37:D38"/>
    <mergeCell ref="D35:D36"/>
    <mergeCell ref="B35:B36"/>
    <mergeCell ref="E35:E36"/>
    <mergeCell ref="E21:E22"/>
    <mergeCell ref="E23:E24"/>
    <mergeCell ref="E25:E26"/>
    <mergeCell ref="E31:E3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A42:P42"/>
    <mergeCell ref="A43:P43"/>
    <mergeCell ref="G45:P45"/>
    <mergeCell ref="A27:A28"/>
    <mergeCell ref="B27:B28"/>
    <mergeCell ref="C27:C28"/>
    <mergeCell ref="D27:D28"/>
    <mergeCell ref="E27:E28"/>
    <mergeCell ref="Q27:Q28"/>
    <mergeCell ref="A29:A30"/>
    <mergeCell ref="B29:B30"/>
    <mergeCell ref="C29:C30"/>
    <mergeCell ref="D29:D30"/>
    <mergeCell ref="E29:E30"/>
    <mergeCell ref="Q29:Q30"/>
    <mergeCell ref="C35:C36"/>
    <mergeCell ref="C37:C38"/>
    <mergeCell ref="Q35:Q36"/>
    <mergeCell ref="Q37:Q38"/>
    <mergeCell ref="A41:P41"/>
    <mergeCell ref="A37:A38"/>
    <mergeCell ref="B37:B38"/>
    <mergeCell ref="B33:B34"/>
    <mergeCell ref="E37:E38"/>
    <mergeCell ref="A1:Q1"/>
    <mergeCell ref="C21:C22"/>
    <mergeCell ref="C23:C24"/>
    <mergeCell ref="C25:C26"/>
    <mergeCell ref="C31:C32"/>
    <mergeCell ref="C33:C34"/>
    <mergeCell ref="C17:C18"/>
    <mergeCell ref="Q3:Q4"/>
    <mergeCell ref="Q5:Q6"/>
    <mergeCell ref="Q7:Q8"/>
    <mergeCell ref="Q9:Q10"/>
    <mergeCell ref="Q11:Q12"/>
    <mergeCell ref="Q15:Q16"/>
    <mergeCell ref="Q31:Q32"/>
    <mergeCell ref="Q33:Q34"/>
    <mergeCell ref="Q17:Q18"/>
    <mergeCell ref="E11:E12"/>
    <mergeCell ref="Q19:Q20"/>
    <mergeCell ref="Q21:Q22"/>
    <mergeCell ref="Q23:Q24"/>
    <mergeCell ref="Q25:Q26"/>
    <mergeCell ref="A3:A4"/>
    <mergeCell ref="A5:A6"/>
    <mergeCell ref="A7:A8"/>
    <mergeCell ref="D11:D12"/>
    <mergeCell ref="D15:D16"/>
    <mergeCell ref="D19:D20"/>
    <mergeCell ref="B21:B22"/>
    <mergeCell ref="B17:B18"/>
    <mergeCell ref="C19:C20"/>
    <mergeCell ref="B19:B20"/>
    <mergeCell ref="A21:A22"/>
    <mergeCell ref="C11:C12"/>
    <mergeCell ref="C15:C16"/>
    <mergeCell ref="C3:C4"/>
    <mergeCell ref="C5:C6"/>
    <mergeCell ref="C7:C8"/>
    <mergeCell ref="C13:C14"/>
    <mergeCell ref="A33:A34"/>
    <mergeCell ref="D23:D24"/>
    <mergeCell ref="D25:D26"/>
    <mergeCell ref="D31:D32"/>
    <mergeCell ref="D33:D34"/>
    <mergeCell ref="B23:B24"/>
    <mergeCell ref="B25:B26"/>
    <mergeCell ref="B31:B32"/>
    <mergeCell ref="A23:A24"/>
    <mergeCell ref="A25:A26"/>
    <mergeCell ref="A31:A32"/>
    <mergeCell ref="A13:A14"/>
    <mergeCell ref="A9:A10"/>
    <mergeCell ref="A11:A12"/>
    <mergeCell ref="A15:A16"/>
    <mergeCell ref="A19:A20"/>
    <mergeCell ref="D21:D22"/>
    <mergeCell ref="D5:D6"/>
    <mergeCell ref="D7:D8"/>
    <mergeCell ref="D9:D10"/>
    <mergeCell ref="Q13:Q14"/>
    <mergeCell ref="A17:A18"/>
    <mergeCell ref="A35:A36"/>
    <mergeCell ref="G2:P2"/>
    <mergeCell ref="B3:B4"/>
    <mergeCell ref="D3:D4"/>
    <mergeCell ref="B5:B6"/>
    <mergeCell ref="B7:B8"/>
    <mergeCell ref="B9:B10"/>
    <mergeCell ref="B11:B12"/>
    <mergeCell ref="B15:B16"/>
    <mergeCell ref="E33:E34"/>
    <mergeCell ref="E17:E18"/>
    <mergeCell ref="D17:D18"/>
    <mergeCell ref="E19:E20"/>
    <mergeCell ref="E15:E16"/>
    <mergeCell ref="E3:E4"/>
    <mergeCell ref="E5:E6"/>
    <mergeCell ref="E7:E8"/>
    <mergeCell ref="E9:E10"/>
    <mergeCell ref="C9:C10"/>
    <mergeCell ref="B13:B14"/>
    <mergeCell ref="E13:E14"/>
    <mergeCell ref="D13:D14"/>
  </mergeCells>
  <printOptions horizontalCentered="1"/>
  <pageMargins left="0.2" right="0.2" top="0.25" bottom="0.25" header="0.3" footer="0.3"/>
  <pageSetup paperSize="9" scale="41" orientation="landscape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0" operator="beginsWith" id="{20311FC2-6519-4A07-9CDA-EA57DD9D7FE8}">
            <xm:f>LEFT(G5,LEN($Q$2))=$Q$2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M5 K17:P40 L15:P16 J17:J18 G33:H40</xm:sqref>
        </x14:conditionalFormatting>
        <x14:conditionalFormatting xmlns:xm="http://schemas.microsoft.com/office/excel/2006/main">
          <x14:cfRule type="beginsWith" priority="9" operator="beginsWith" id="{9209216E-22CE-403C-993F-1BFA50A72B31}">
            <xm:f>LEFT(M6,LEN($Q$2))=$Q$2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M6:P12</xm:sqref>
        </x14:conditionalFormatting>
        <x14:conditionalFormatting xmlns:xm="http://schemas.microsoft.com/office/excel/2006/main">
          <x14:cfRule type="beginsWith" priority="8" operator="beginsWith" id="{909770C7-EC53-4357-A410-85FEACB77E7E}">
            <xm:f>LEFT(N5,LEN($Q$2))=$Q$2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N5:P5</xm:sqref>
        </x14:conditionalFormatting>
        <x14:conditionalFormatting xmlns:xm="http://schemas.microsoft.com/office/excel/2006/main">
          <x14:cfRule type="beginsWith" priority="7" operator="beginsWith" id="{E9AC5740-B576-48EC-8EEC-34798911B456}">
            <xm:f>LEFT(L9,LEN($Q$2))=$Q$2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L9:L12</xm:sqref>
        </x14:conditionalFormatting>
        <x14:conditionalFormatting xmlns:xm="http://schemas.microsoft.com/office/excel/2006/main">
          <x14:cfRule type="beginsWith" priority="6" operator="beginsWith" id="{938D1FE3-E553-4570-93D6-8F5E3D758ED3}">
            <xm:f>LEFT(I19,LEN($Q$2))=$Q$2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I19:J40</xm:sqref>
        </x14:conditionalFormatting>
        <x14:conditionalFormatting xmlns:xm="http://schemas.microsoft.com/office/excel/2006/main">
          <x14:cfRule type="beginsWith" priority="5" operator="beginsWith" id="{DEEDE327-C95A-4F60-A17B-79FD1E5F6C77}">
            <xm:f>LEFT(H27,LEN($Q$2))=$Q$2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H27:H30</xm:sqref>
        </x14:conditionalFormatting>
        <x14:conditionalFormatting xmlns:xm="http://schemas.microsoft.com/office/excel/2006/main">
          <x14:cfRule type="beginsWith" priority="4" operator="beginsWith" id="{58F6758B-9BBC-4A9C-A485-BA7F9FA4FD8A}">
            <xm:f>LEFT(G27,LEN($Q$2))=$Q$2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G27:G30</xm:sqref>
        </x14:conditionalFormatting>
        <x14:conditionalFormatting xmlns:xm="http://schemas.microsoft.com/office/excel/2006/main">
          <x14:cfRule type="beginsWith" priority="3" operator="beginsWith" id="{AE6087F9-F78C-41F2-A487-6CC4CB9B2486}">
            <xm:f>LEFT(M13,LEN($Q$2))=$Q$2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M13:P14</xm:sqref>
        </x14:conditionalFormatting>
        <x14:conditionalFormatting xmlns:xm="http://schemas.microsoft.com/office/excel/2006/main">
          <x14:cfRule type="beginsWith" priority="2" operator="beginsWith" id="{798527A5-8064-4B67-83D4-986407B969F8}">
            <xm:f>LEFT(L13,LEN($Q$2))=$Q$2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L13:L14</xm:sqref>
        </x14:conditionalFormatting>
        <x14:conditionalFormatting xmlns:xm="http://schemas.microsoft.com/office/excel/2006/main">
          <x14:cfRule type="beginsWith" priority="1" operator="beginsWith" id="{0AF1A77D-1086-4591-BE13-C777A5FFF6C7}">
            <xm:f>LEFT(L7,LEN($Q$2))=$Q$2</xm:f>
            <xm:f>$Q$2</xm:f>
            <x14:dxf>
              <fill>
                <patternFill>
                  <bgColor rgb="FFFF0000"/>
                </patternFill>
              </fill>
            </x14:dxf>
          </x14:cfRule>
          <xm:sqref>L7:L8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H34"/>
  <sheetViews>
    <sheetView rightToLeft="1" view="pageBreakPreview" zoomScale="40" zoomScaleNormal="55" zoomScaleSheetLayoutView="40" workbookViewId="0">
      <selection activeCell="C7" sqref="C7:G8"/>
    </sheetView>
  </sheetViews>
  <sheetFormatPr defaultColWidth="9.1796875" defaultRowHeight="29.25" customHeight="1"/>
  <cols>
    <col min="1" max="1" width="20.26953125" style="15" customWidth="1"/>
    <col min="2" max="2" width="19.26953125" style="15" customWidth="1"/>
    <col min="3" max="3" width="16" style="15" customWidth="1"/>
    <col min="4" max="4" width="24.453125" style="1" customWidth="1"/>
    <col min="5" max="5" width="25.1796875" style="1" customWidth="1"/>
    <col min="6" max="6" width="23" style="1" customWidth="1"/>
    <col min="7" max="7" width="24.1796875" style="1" customWidth="1"/>
    <col min="8" max="8" width="36.54296875" style="1" customWidth="1"/>
    <col min="9" max="9" width="36.1796875" style="1" customWidth="1"/>
    <col min="10" max="10" width="16" style="2" customWidth="1"/>
    <col min="11" max="11" width="36" style="1" customWidth="1"/>
    <col min="12" max="12" width="10.1796875" style="1" customWidth="1"/>
    <col min="13" max="13" width="10.453125" style="1" customWidth="1"/>
    <col min="14" max="14" width="9.26953125" style="1" customWidth="1"/>
    <col min="15" max="15" width="9.54296875" style="1" customWidth="1"/>
    <col min="16" max="16" width="9.26953125" style="1" customWidth="1"/>
    <col min="17" max="17" width="6.7265625" style="1" customWidth="1"/>
    <col min="18" max="19" width="9.81640625" style="1" customWidth="1"/>
    <col min="20" max="20" width="6.453125" style="1" customWidth="1"/>
    <col min="21" max="21" width="5.81640625" style="1" customWidth="1"/>
    <col min="22" max="22" width="13" style="1" customWidth="1"/>
    <col min="23" max="23" width="9.453125" style="1" customWidth="1"/>
    <col min="24" max="24" width="13.1796875" style="1" customWidth="1"/>
    <col min="25" max="25" width="10.7265625" style="1" customWidth="1"/>
    <col min="26" max="26" width="38.81640625" style="1" customWidth="1"/>
    <col min="27" max="27" width="11.81640625" style="1" customWidth="1"/>
    <col min="28" max="28" width="12.453125" style="1" customWidth="1"/>
    <col min="29" max="29" width="26.54296875" style="1" customWidth="1"/>
    <col min="30" max="30" width="15.26953125" style="1" customWidth="1"/>
    <col min="31" max="31" width="24.1796875" style="1" customWidth="1"/>
    <col min="32" max="32" width="16.453125" style="1" customWidth="1"/>
    <col min="33" max="33" width="35.1796875" style="1" customWidth="1"/>
    <col min="34" max="34" width="39.54296875" customWidth="1"/>
    <col min="35" max="16384" width="9.1796875" style="1"/>
  </cols>
  <sheetData>
    <row r="1" spans="1:34" ht="100" customHeight="1" thickBot="1">
      <c r="A1" s="450" t="s">
        <v>102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2"/>
      <c r="AA1" s="49"/>
      <c r="AB1" s="45"/>
      <c r="AC1" s="45"/>
      <c r="AD1" s="45"/>
      <c r="AE1" s="45"/>
      <c r="AF1" s="3"/>
      <c r="AG1" s="4"/>
    </row>
    <row r="2" spans="1:34" ht="57" customHeight="1" thickBot="1">
      <c r="A2" s="341" t="s">
        <v>190</v>
      </c>
      <c r="B2" s="342"/>
      <c r="C2" s="342"/>
      <c r="D2" s="343"/>
      <c r="E2" s="344" t="s">
        <v>202</v>
      </c>
      <c r="F2" s="345"/>
      <c r="G2" s="346"/>
      <c r="H2" s="347" t="s">
        <v>23</v>
      </c>
      <c r="I2" s="348"/>
      <c r="J2" s="347" t="s">
        <v>25</v>
      </c>
      <c r="K2" s="348"/>
      <c r="L2" s="347" t="s">
        <v>24</v>
      </c>
      <c r="M2" s="358"/>
      <c r="N2" s="358"/>
      <c r="O2" s="358"/>
      <c r="P2" s="358"/>
      <c r="Q2" s="348"/>
      <c r="R2" s="425" t="s">
        <v>92</v>
      </c>
      <c r="S2" s="426"/>
      <c r="T2" s="426"/>
      <c r="U2" s="426"/>
      <c r="V2" s="426"/>
      <c r="W2" s="427"/>
      <c r="X2" s="422" t="s">
        <v>174</v>
      </c>
      <c r="Y2" s="423"/>
      <c r="Z2" s="424"/>
      <c r="AA2" s="3"/>
      <c r="AB2" s="3"/>
      <c r="AC2" s="3"/>
      <c r="AD2" s="3"/>
      <c r="AE2" s="3"/>
      <c r="AF2" s="3"/>
      <c r="AG2" s="3"/>
    </row>
    <row r="3" spans="1:34" ht="39.75" customHeight="1" thickBot="1">
      <c r="A3" s="82"/>
      <c r="B3" s="82"/>
      <c r="C3" s="82"/>
      <c r="D3" s="83"/>
      <c r="E3" s="83"/>
      <c r="F3" s="83"/>
      <c r="G3" s="83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85"/>
      <c r="Z3" s="85"/>
      <c r="AA3" s="3"/>
      <c r="AB3" s="3"/>
      <c r="AC3" s="3"/>
      <c r="AD3" s="3"/>
      <c r="AE3" s="3"/>
      <c r="AF3" s="3"/>
      <c r="AG3" s="3"/>
    </row>
    <row r="4" spans="1:34" ht="63.5" thickBot="1">
      <c r="A4" s="44" t="s">
        <v>27</v>
      </c>
      <c r="B4" s="467" t="s">
        <v>28</v>
      </c>
      <c r="C4" s="456"/>
      <c r="D4" s="456"/>
      <c r="E4" s="456"/>
      <c r="F4" s="456"/>
      <c r="G4" s="468"/>
      <c r="H4" s="23" t="s">
        <v>86</v>
      </c>
      <c r="I4" s="24" t="s">
        <v>105</v>
      </c>
      <c r="J4" s="456" t="s">
        <v>26</v>
      </c>
      <c r="K4" s="457"/>
      <c r="L4" s="458" t="s">
        <v>87</v>
      </c>
      <c r="M4" s="459"/>
      <c r="N4" s="459"/>
      <c r="O4" s="459"/>
      <c r="P4" s="459"/>
      <c r="Q4" s="457"/>
      <c r="R4" s="438" t="s">
        <v>88</v>
      </c>
      <c r="S4" s="439"/>
      <c r="T4" s="439"/>
      <c r="U4" s="439"/>
      <c r="V4" s="439"/>
      <c r="W4" s="439"/>
      <c r="X4" s="439"/>
      <c r="Y4" s="439"/>
      <c r="Z4" s="440"/>
    </row>
    <row r="5" spans="1:34" ht="80.150000000000006" customHeight="1">
      <c r="A5" s="460">
        <v>2</v>
      </c>
      <c r="B5" s="365" t="s">
        <v>32</v>
      </c>
      <c r="C5" s="366"/>
      <c r="D5" s="366"/>
      <c r="E5" s="366"/>
      <c r="F5" s="366"/>
      <c r="G5" s="367"/>
      <c r="H5" s="462">
        <v>856922400</v>
      </c>
      <c r="I5" s="376">
        <v>785855420</v>
      </c>
      <c r="J5" s="383" t="s">
        <v>85</v>
      </c>
      <c r="K5" s="384"/>
      <c r="L5" s="416">
        <v>0</v>
      </c>
      <c r="M5" s="417"/>
      <c r="N5" s="417"/>
      <c r="O5" s="417"/>
      <c r="P5" s="417"/>
      <c r="Q5" s="418"/>
      <c r="R5" s="441" t="s">
        <v>37</v>
      </c>
      <c r="S5" s="441"/>
      <c r="T5" s="441"/>
      <c r="U5" s="441"/>
      <c r="V5" s="441"/>
      <c r="W5" s="441"/>
      <c r="X5" s="441"/>
      <c r="Y5" s="441"/>
      <c r="Z5" s="442"/>
    </row>
    <row r="6" spans="1:34" ht="80.150000000000006" customHeight="1" thickBot="1">
      <c r="A6" s="461"/>
      <c r="B6" s="368"/>
      <c r="C6" s="369"/>
      <c r="D6" s="369"/>
      <c r="E6" s="369"/>
      <c r="F6" s="369"/>
      <c r="G6" s="370"/>
      <c r="H6" s="463">
        <v>856922400</v>
      </c>
      <c r="I6" s="377"/>
      <c r="J6" s="385" t="s">
        <v>60</v>
      </c>
      <c r="K6" s="386"/>
      <c r="L6" s="392">
        <v>0</v>
      </c>
      <c r="M6" s="393"/>
      <c r="N6" s="393"/>
      <c r="O6" s="393"/>
      <c r="P6" s="393"/>
      <c r="Q6" s="394"/>
      <c r="R6" s="443" t="s">
        <v>37</v>
      </c>
      <c r="S6" s="443"/>
      <c r="T6" s="443"/>
      <c r="U6" s="443"/>
      <c r="V6" s="443"/>
      <c r="W6" s="443"/>
      <c r="X6" s="443"/>
      <c r="Y6" s="443"/>
      <c r="Z6" s="444"/>
    </row>
    <row r="7" spans="1:34" s="9" customFormat="1" ht="80.150000000000006" customHeight="1">
      <c r="A7" s="453">
        <v>3</v>
      </c>
      <c r="B7" s="371" t="s">
        <v>29</v>
      </c>
      <c r="C7" s="469" t="s">
        <v>34</v>
      </c>
      <c r="D7" s="469"/>
      <c r="E7" s="469"/>
      <c r="F7" s="469"/>
      <c r="G7" s="470"/>
      <c r="H7" s="464">
        <v>4984321050</v>
      </c>
      <c r="I7" s="378">
        <v>3987456840</v>
      </c>
      <c r="J7" s="465" t="s">
        <v>85</v>
      </c>
      <c r="K7" s="466"/>
      <c r="L7" s="389">
        <f>'4 پرداخت ماهانه و کارگاهی'!H7</f>
        <v>302014387.60000002</v>
      </c>
      <c r="M7" s="390"/>
      <c r="N7" s="390"/>
      <c r="O7" s="390"/>
      <c r="P7" s="390"/>
      <c r="Q7" s="391"/>
      <c r="R7" s="445" t="s">
        <v>160</v>
      </c>
      <c r="S7" s="446"/>
      <c r="T7" s="446"/>
      <c r="U7" s="446"/>
      <c r="V7" s="446"/>
      <c r="W7" s="446"/>
      <c r="X7" s="446"/>
      <c r="Y7" s="446"/>
      <c r="Z7" s="447"/>
      <c r="AA7" s="1"/>
      <c r="AB7" s="1"/>
      <c r="AC7" s="1"/>
      <c r="AD7" s="1"/>
      <c r="AE7" s="1"/>
      <c r="AF7" s="1"/>
      <c r="AG7" s="1"/>
      <c r="AH7" s="8"/>
    </row>
    <row r="8" spans="1:34" s="6" customFormat="1" ht="80.150000000000006" customHeight="1">
      <c r="A8" s="454"/>
      <c r="B8" s="372"/>
      <c r="C8" s="361"/>
      <c r="D8" s="361"/>
      <c r="E8" s="361"/>
      <c r="F8" s="361"/>
      <c r="G8" s="362"/>
      <c r="H8" s="398">
        <v>3987456840</v>
      </c>
      <c r="I8" s="379"/>
      <c r="J8" s="402" t="s">
        <v>60</v>
      </c>
      <c r="K8" s="403"/>
      <c r="L8" s="352"/>
      <c r="M8" s="353"/>
      <c r="N8" s="353"/>
      <c r="O8" s="353"/>
      <c r="P8" s="353"/>
      <c r="Q8" s="354"/>
      <c r="R8" s="448"/>
      <c r="S8" s="448"/>
      <c r="T8" s="448"/>
      <c r="U8" s="448"/>
      <c r="V8" s="448"/>
      <c r="W8" s="448"/>
      <c r="X8" s="448"/>
      <c r="Y8" s="448"/>
      <c r="Z8" s="449"/>
      <c r="AA8" s="1"/>
      <c r="AB8" s="1"/>
      <c r="AC8" s="1"/>
      <c r="AD8" s="1"/>
      <c r="AE8" s="1"/>
      <c r="AF8" s="1"/>
      <c r="AG8" s="1"/>
      <c r="AH8" s="5"/>
    </row>
    <row r="9" spans="1:34" ht="80.150000000000006" customHeight="1">
      <c r="A9" s="454"/>
      <c r="B9" s="372"/>
      <c r="C9" s="359" t="s">
        <v>35</v>
      </c>
      <c r="D9" s="359"/>
      <c r="E9" s="359"/>
      <c r="F9" s="359"/>
      <c r="G9" s="360"/>
      <c r="H9" s="382">
        <v>846607000</v>
      </c>
      <c r="I9" s="380">
        <v>539361408</v>
      </c>
      <c r="J9" s="404" t="s">
        <v>85</v>
      </c>
      <c r="K9" s="405"/>
      <c r="L9" s="355">
        <v>0</v>
      </c>
      <c r="M9" s="356"/>
      <c r="N9" s="356"/>
      <c r="O9" s="356"/>
      <c r="P9" s="356"/>
      <c r="Q9" s="357"/>
      <c r="R9" s="430" t="s">
        <v>37</v>
      </c>
      <c r="S9" s="430"/>
      <c r="T9" s="430"/>
      <c r="U9" s="430"/>
      <c r="V9" s="430"/>
      <c r="W9" s="430"/>
      <c r="X9" s="430"/>
      <c r="Y9" s="430"/>
      <c r="Z9" s="431"/>
      <c r="AH9" s="7"/>
    </row>
    <row r="10" spans="1:34" ht="80.150000000000006" customHeight="1">
      <c r="A10" s="454"/>
      <c r="B10" s="372"/>
      <c r="C10" s="359"/>
      <c r="D10" s="359"/>
      <c r="E10" s="359"/>
      <c r="F10" s="359"/>
      <c r="G10" s="360"/>
      <c r="H10" s="382">
        <v>677285600</v>
      </c>
      <c r="I10" s="381"/>
      <c r="J10" s="404" t="s">
        <v>60</v>
      </c>
      <c r="K10" s="405"/>
      <c r="L10" s="355">
        <v>0</v>
      </c>
      <c r="M10" s="356"/>
      <c r="N10" s="356"/>
      <c r="O10" s="356"/>
      <c r="P10" s="356"/>
      <c r="Q10" s="357"/>
      <c r="R10" s="430" t="s">
        <v>37</v>
      </c>
      <c r="S10" s="430"/>
      <c r="T10" s="430"/>
      <c r="U10" s="430"/>
      <c r="V10" s="430"/>
      <c r="W10" s="430"/>
      <c r="X10" s="430"/>
      <c r="Y10" s="430"/>
      <c r="Z10" s="431"/>
      <c r="AH10" s="7"/>
    </row>
    <row r="11" spans="1:34" ht="80.150000000000006" customHeight="1">
      <c r="A11" s="454"/>
      <c r="B11" s="372"/>
      <c r="C11" s="361" t="s">
        <v>33</v>
      </c>
      <c r="D11" s="361"/>
      <c r="E11" s="361"/>
      <c r="F11" s="361"/>
      <c r="G11" s="362"/>
      <c r="H11" s="398">
        <v>14346307530</v>
      </c>
      <c r="I11" s="400">
        <v>11477046019.856539</v>
      </c>
      <c r="J11" s="402" t="s">
        <v>85</v>
      </c>
      <c r="K11" s="403"/>
      <c r="L11" s="352">
        <f>'4 پرداخت ماهانه و کارگاهی'!H10</f>
        <v>1872720800.707109</v>
      </c>
      <c r="M11" s="353"/>
      <c r="N11" s="353"/>
      <c r="O11" s="353"/>
      <c r="P11" s="353"/>
      <c r="Q11" s="354"/>
      <c r="R11" s="432" t="s">
        <v>161</v>
      </c>
      <c r="S11" s="432"/>
      <c r="T11" s="432"/>
      <c r="U11" s="432"/>
      <c r="V11" s="432"/>
      <c r="W11" s="432"/>
      <c r="X11" s="432"/>
      <c r="Y11" s="432"/>
      <c r="Z11" s="433"/>
      <c r="AH11" s="7"/>
    </row>
    <row r="12" spans="1:34" ht="80.150000000000006" customHeight="1" thickBot="1">
      <c r="A12" s="455"/>
      <c r="B12" s="373"/>
      <c r="C12" s="363"/>
      <c r="D12" s="363"/>
      <c r="E12" s="363"/>
      <c r="F12" s="363"/>
      <c r="G12" s="364"/>
      <c r="H12" s="399">
        <v>12032386956.301212</v>
      </c>
      <c r="I12" s="401"/>
      <c r="J12" s="374" t="s">
        <v>60</v>
      </c>
      <c r="K12" s="375"/>
      <c r="L12" s="349"/>
      <c r="M12" s="350"/>
      <c r="N12" s="350"/>
      <c r="O12" s="350"/>
      <c r="P12" s="350"/>
      <c r="Q12" s="351"/>
      <c r="R12" s="434"/>
      <c r="S12" s="434"/>
      <c r="T12" s="434"/>
      <c r="U12" s="434"/>
      <c r="V12" s="434"/>
      <c r="W12" s="434"/>
      <c r="X12" s="434"/>
      <c r="Y12" s="434"/>
      <c r="Z12" s="435"/>
    </row>
    <row r="13" spans="1:34" ht="80.150000000000006" customHeight="1">
      <c r="A13" s="406">
        <v>4</v>
      </c>
      <c r="B13" s="408" t="s">
        <v>30</v>
      </c>
      <c r="C13" s="409"/>
      <c r="D13" s="409"/>
      <c r="E13" s="409"/>
      <c r="F13" s="409"/>
      <c r="G13" s="410"/>
      <c r="H13" s="419">
        <v>454840100</v>
      </c>
      <c r="I13" s="414">
        <v>0</v>
      </c>
      <c r="J13" s="421" t="s">
        <v>85</v>
      </c>
      <c r="K13" s="384"/>
      <c r="L13" s="416">
        <v>0</v>
      </c>
      <c r="M13" s="417"/>
      <c r="N13" s="417"/>
      <c r="O13" s="417"/>
      <c r="P13" s="417"/>
      <c r="Q13" s="418"/>
      <c r="R13" s="436" t="s">
        <v>37</v>
      </c>
      <c r="S13" s="436"/>
      <c r="T13" s="436"/>
      <c r="U13" s="436"/>
      <c r="V13" s="436"/>
      <c r="W13" s="436"/>
      <c r="X13" s="436"/>
      <c r="Y13" s="436"/>
      <c r="Z13" s="437"/>
    </row>
    <row r="14" spans="1:34" ht="80.150000000000006" customHeight="1" thickBot="1">
      <c r="A14" s="407"/>
      <c r="B14" s="411"/>
      <c r="C14" s="412"/>
      <c r="D14" s="412"/>
      <c r="E14" s="412"/>
      <c r="F14" s="412"/>
      <c r="G14" s="413"/>
      <c r="H14" s="420">
        <v>454840100</v>
      </c>
      <c r="I14" s="415"/>
      <c r="J14" s="395" t="s">
        <v>60</v>
      </c>
      <c r="K14" s="386"/>
      <c r="L14" s="392">
        <v>0</v>
      </c>
      <c r="M14" s="393"/>
      <c r="N14" s="393"/>
      <c r="O14" s="393"/>
      <c r="P14" s="393"/>
      <c r="Q14" s="394"/>
      <c r="R14" s="428" t="s">
        <v>37</v>
      </c>
      <c r="S14" s="428"/>
      <c r="T14" s="428"/>
      <c r="U14" s="428"/>
      <c r="V14" s="428"/>
      <c r="W14" s="428"/>
      <c r="X14" s="428"/>
      <c r="Y14" s="428"/>
      <c r="Z14" s="429"/>
    </row>
    <row r="15" spans="1:34" ht="80.150000000000006" customHeight="1">
      <c r="A15" s="477">
        <v>5</v>
      </c>
      <c r="B15" s="479" t="s">
        <v>31</v>
      </c>
      <c r="C15" s="480"/>
      <c r="D15" s="480"/>
      <c r="E15" s="480"/>
      <c r="F15" s="480"/>
      <c r="G15" s="481"/>
      <c r="H15" s="396">
        <v>70000000</v>
      </c>
      <c r="I15" s="487">
        <v>70000000</v>
      </c>
      <c r="J15" s="465" t="s">
        <v>85</v>
      </c>
      <c r="K15" s="466"/>
      <c r="L15" s="389">
        <f>'5 پرداخت پشتیبانی'!Q13</f>
        <v>0</v>
      </c>
      <c r="M15" s="390"/>
      <c r="N15" s="390"/>
      <c r="O15" s="390"/>
      <c r="P15" s="390"/>
      <c r="Q15" s="391"/>
      <c r="R15" s="446" t="s">
        <v>37</v>
      </c>
      <c r="S15" s="446"/>
      <c r="T15" s="446"/>
      <c r="U15" s="446"/>
      <c r="V15" s="446"/>
      <c r="W15" s="446"/>
      <c r="X15" s="446"/>
      <c r="Y15" s="446"/>
      <c r="Z15" s="447"/>
    </row>
    <row r="16" spans="1:34" ht="80.150000000000006" customHeight="1" thickBot="1">
      <c r="A16" s="478"/>
      <c r="B16" s="482"/>
      <c r="C16" s="483"/>
      <c r="D16" s="483"/>
      <c r="E16" s="483"/>
      <c r="F16" s="483"/>
      <c r="G16" s="484"/>
      <c r="H16" s="397">
        <v>70000000</v>
      </c>
      <c r="I16" s="488"/>
      <c r="J16" s="485" t="s">
        <v>60</v>
      </c>
      <c r="K16" s="485"/>
      <c r="L16" s="486">
        <v>0</v>
      </c>
      <c r="M16" s="486"/>
      <c r="N16" s="486"/>
      <c r="O16" s="486"/>
      <c r="P16" s="486"/>
      <c r="Q16" s="486"/>
      <c r="R16" s="471" t="s">
        <v>37</v>
      </c>
      <c r="S16" s="471"/>
      <c r="T16" s="471"/>
      <c r="U16" s="471"/>
      <c r="V16" s="471"/>
      <c r="W16" s="471"/>
      <c r="X16" s="471"/>
      <c r="Y16" s="471"/>
      <c r="Z16" s="472"/>
    </row>
    <row r="17" spans="1:26" ht="80.150000000000006" customHeight="1">
      <c r="A17" s="500" t="s">
        <v>91</v>
      </c>
      <c r="B17" s="501"/>
      <c r="C17" s="501"/>
      <c r="D17" s="501"/>
      <c r="E17" s="501"/>
      <c r="F17" s="501"/>
      <c r="G17" s="502"/>
      <c r="H17" s="506">
        <v>21558998080</v>
      </c>
      <c r="I17" s="387">
        <f>I5+I7+I9+I11+I13+I15</f>
        <v>16859719687.856539</v>
      </c>
      <c r="J17" s="475" t="s">
        <v>85</v>
      </c>
      <c r="K17" s="475"/>
      <c r="L17" s="474">
        <f>L5+L7+L9+L11+L13+L15</f>
        <v>2174735188.3071089</v>
      </c>
      <c r="M17" s="474"/>
      <c r="N17" s="474"/>
      <c r="O17" s="474"/>
      <c r="P17" s="474"/>
      <c r="Q17" s="474"/>
      <c r="R17" s="496" t="s">
        <v>165</v>
      </c>
      <c r="S17" s="496"/>
      <c r="T17" s="496"/>
      <c r="U17" s="496"/>
      <c r="V17" s="496"/>
      <c r="W17" s="496"/>
      <c r="X17" s="496"/>
      <c r="Y17" s="496"/>
      <c r="Z17" s="497"/>
    </row>
    <row r="18" spans="1:26" ht="79.5" customHeight="1" thickBot="1">
      <c r="A18" s="503"/>
      <c r="B18" s="504"/>
      <c r="C18" s="504"/>
      <c r="D18" s="504"/>
      <c r="E18" s="504"/>
      <c r="F18" s="504"/>
      <c r="G18" s="505"/>
      <c r="H18" s="507"/>
      <c r="I18" s="388"/>
      <c r="J18" s="476" t="s">
        <v>60</v>
      </c>
      <c r="K18" s="476"/>
      <c r="L18" s="473">
        <f>L6+L8+L10+L12+L14+L16</f>
        <v>0</v>
      </c>
      <c r="M18" s="473"/>
      <c r="N18" s="473"/>
      <c r="O18" s="473"/>
      <c r="P18" s="473"/>
      <c r="Q18" s="473"/>
      <c r="R18" s="498" t="s">
        <v>37</v>
      </c>
      <c r="S18" s="498"/>
      <c r="T18" s="498"/>
      <c r="U18" s="498"/>
      <c r="V18" s="498"/>
      <c r="W18" s="498"/>
      <c r="X18" s="498"/>
      <c r="Y18" s="498"/>
      <c r="Z18" s="499"/>
    </row>
    <row r="19" spans="1:26" ht="79.5" customHeight="1" thickBot="1">
      <c r="A19" s="489" t="s">
        <v>187</v>
      </c>
      <c r="B19" s="490"/>
      <c r="C19" s="490"/>
      <c r="D19" s="490"/>
      <c r="E19" s="490"/>
      <c r="F19" s="490"/>
      <c r="G19" s="491"/>
      <c r="H19" s="202"/>
      <c r="I19" s="203"/>
      <c r="J19" s="492"/>
      <c r="K19" s="492"/>
      <c r="L19" s="493"/>
      <c r="M19" s="493"/>
      <c r="N19" s="493"/>
      <c r="O19" s="493"/>
      <c r="P19" s="493"/>
      <c r="Q19" s="493"/>
      <c r="R19" s="494"/>
      <c r="S19" s="494"/>
      <c r="T19" s="494"/>
      <c r="U19" s="494"/>
      <c r="V19" s="494"/>
      <c r="W19" s="494"/>
      <c r="X19" s="494"/>
      <c r="Y19" s="494"/>
      <c r="Z19" s="495"/>
    </row>
    <row r="20" spans="1:26" ht="60" customHeight="1">
      <c r="A20" s="49" t="s">
        <v>104</v>
      </c>
      <c r="J20" s="1"/>
    </row>
    <row r="21" spans="1:26" ht="60" customHeight="1">
      <c r="J21" s="1"/>
    </row>
    <row r="22" spans="1:26" ht="60" customHeight="1">
      <c r="J22" s="1"/>
    </row>
    <row r="23" spans="1:26" ht="60" customHeight="1">
      <c r="J23" s="1"/>
    </row>
    <row r="24" spans="1:26" ht="60" customHeight="1">
      <c r="J24" s="1"/>
    </row>
    <row r="25" spans="1:26" ht="60" customHeight="1">
      <c r="J25" s="1"/>
    </row>
    <row r="26" spans="1:26" ht="60" customHeight="1">
      <c r="J26" s="1"/>
    </row>
    <row r="27" spans="1:26" ht="30" customHeight="1">
      <c r="J27" s="1"/>
    </row>
    <row r="28" spans="1:26" ht="60" customHeight="1">
      <c r="J28" s="1"/>
    </row>
    <row r="29" spans="1:26" ht="60" customHeight="1">
      <c r="J29" s="1"/>
    </row>
    <row r="30" spans="1:26" ht="60" customHeight="1">
      <c r="J30" s="1"/>
    </row>
    <row r="31" spans="1:26" ht="60" customHeight="1">
      <c r="J31" s="1"/>
    </row>
    <row r="32" spans="1:26" ht="60" customHeight="1">
      <c r="J32" s="1"/>
    </row>
    <row r="33" spans="10:10" ht="60" customHeight="1">
      <c r="J33" s="1"/>
    </row>
    <row r="34" spans="10:10" ht="60" customHeight="1">
      <c r="J34" s="1"/>
    </row>
  </sheetData>
  <mergeCells count="84">
    <mergeCell ref="A19:G19"/>
    <mergeCell ref="J19:K19"/>
    <mergeCell ref="L19:Q19"/>
    <mergeCell ref="R19:Z19"/>
    <mergeCell ref="R17:Z17"/>
    <mergeCell ref="R18:Z18"/>
    <mergeCell ref="A17:G18"/>
    <mergeCell ref="H17:H18"/>
    <mergeCell ref="A15:A16"/>
    <mergeCell ref="B15:G16"/>
    <mergeCell ref="J15:K15"/>
    <mergeCell ref="J16:K16"/>
    <mergeCell ref="L16:Q16"/>
    <mergeCell ref="I15:I16"/>
    <mergeCell ref="R15:Z15"/>
    <mergeCell ref="R16:Z16"/>
    <mergeCell ref="L18:Q18"/>
    <mergeCell ref="L17:Q17"/>
    <mergeCell ref="J17:K17"/>
    <mergeCell ref="J18:K18"/>
    <mergeCell ref="A1:Z1"/>
    <mergeCell ref="L6:Q6"/>
    <mergeCell ref="L7:Q7"/>
    <mergeCell ref="A7:A12"/>
    <mergeCell ref="J4:K4"/>
    <mergeCell ref="L4:Q4"/>
    <mergeCell ref="L5:Q5"/>
    <mergeCell ref="L8:Q8"/>
    <mergeCell ref="L9:Q9"/>
    <mergeCell ref="J9:K9"/>
    <mergeCell ref="A5:A6"/>
    <mergeCell ref="H5:H6"/>
    <mergeCell ref="H7:H8"/>
    <mergeCell ref="J7:K7"/>
    <mergeCell ref="B4:G4"/>
    <mergeCell ref="C7:G8"/>
    <mergeCell ref="X2:Z2"/>
    <mergeCell ref="R2:W2"/>
    <mergeCell ref="R14:Z14"/>
    <mergeCell ref="R9:Z9"/>
    <mergeCell ref="R10:Z10"/>
    <mergeCell ref="R11:Z11"/>
    <mergeCell ref="R12:Z12"/>
    <mergeCell ref="R13:Z13"/>
    <mergeCell ref="R4:Z4"/>
    <mergeCell ref="R5:Z5"/>
    <mergeCell ref="R6:Z6"/>
    <mergeCell ref="R7:Z7"/>
    <mergeCell ref="R8:Z8"/>
    <mergeCell ref="A13:A14"/>
    <mergeCell ref="B13:G14"/>
    <mergeCell ref="I13:I14"/>
    <mergeCell ref="L13:Q13"/>
    <mergeCell ref="H13:H14"/>
    <mergeCell ref="J13:K13"/>
    <mergeCell ref="H2:I2"/>
    <mergeCell ref="J5:K5"/>
    <mergeCell ref="J6:K6"/>
    <mergeCell ref="I17:I18"/>
    <mergeCell ref="L15:Q15"/>
    <mergeCell ref="L14:Q14"/>
    <mergeCell ref="J14:K14"/>
    <mergeCell ref="H15:H16"/>
    <mergeCell ref="H11:H12"/>
    <mergeCell ref="I11:I12"/>
    <mergeCell ref="J11:K11"/>
    <mergeCell ref="J10:K10"/>
    <mergeCell ref="J8:K8"/>
    <mergeCell ref="A2:D2"/>
    <mergeCell ref="E2:G2"/>
    <mergeCell ref="J2:K2"/>
    <mergeCell ref="L12:Q12"/>
    <mergeCell ref="L11:Q11"/>
    <mergeCell ref="L10:Q10"/>
    <mergeCell ref="L2:Q2"/>
    <mergeCell ref="C9:G10"/>
    <mergeCell ref="C11:G12"/>
    <mergeCell ref="B5:G6"/>
    <mergeCell ref="B7:B12"/>
    <mergeCell ref="J12:K12"/>
    <mergeCell ref="I5:I6"/>
    <mergeCell ref="I7:I8"/>
    <mergeCell ref="I9:I10"/>
    <mergeCell ref="H9:H10"/>
  </mergeCells>
  <printOptions horizontalCentered="1"/>
  <pageMargins left="0.25" right="0.25" top="0.5" bottom="0.25" header="0.3" footer="0.3"/>
  <pageSetup paperSize="9" scale="32" orientation="landscape" horizontalDpi="4294967295" verticalDpi="4294967295" r:id="rId1"/>
  <headerFooter alignWithMargins="0">
    <oddFooter>&amp;L&amp;"B Nazanin,Bold"&amp;36مهر و امضاء کارفرما:&amp;R&amp;"B Nazanin,Bold"&amp;36مهر و امضاء مهندسین مشاور: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O41"/>
  <sheetViews>
    <sheetView rightToLeft="1" view="pageBreakPreview" topLeftCell="E31" zoomScaleNormal="100" zoomScaleSheetLayoutView="100" workbookViewId="0">
      <selection activeCell="E38" sqref="E38"/>
    </sheetView>
  </sheetViews>
  <sheetFormatPr defaultColWidth="9.1796875" defaultRowHeight="14"/>
  <cols>
    <col min="1" max="1" width="13.7265625" style="37" customWidth="1"/>
    <col min="2" max="2" width="65.81640625" style="37" customWidth="1"/>
    <col min="3" max="3" width="22.7265625" style="37" customWidth="1"/>
    <col min="4" max="4" width="16.54296875" style="37" customWidth="1"/>
    <col min="5" max="7" width="12.7265625" style="37" customWidth="1"/>
    <col min="8" max="8" width="14.54296875" style="43" customWidth="1"/>
    <col min="9" max="14" width="9.1796875" style="30"/>
    <col min="15" max="15" width="10.453125" style="30" hidden="1" customWidth="1"/>
    <col min="16" max="16384" width="9.1796875" style="30"/>
  </cols>
  <sheetData>
    <row r="1" spans="1:15" ht="30" customHeight="1">
      <c r="A1" s="517" t="s">
        <v>150</v>
      </c>
      <c r="B1" s="518"/>
      <c r="C1" s="518"/>
      <c r="D1" s="518"/>
      <c r="E1" s="518"/>
      <c r="F1" s="515" t="str">
        <f>'1 خلاصه مالی صورت‌حساب'!E2</f>
        <v xml:space="preserve">دوره کارکرد : 1403/01/01   تا 1403/01/31 </v>
      </c>
      <c r="G1" s="515"/>
      <c r="H1" s="516"/>
      <c r="O1" s="30" t="s">
        <v>158</v>
      </c>
    </row>
    <row r="2" spans="1:15" ht="27" customHeight="1">
      <c r="A2" s="519"/>
      <c r="B2" s="520"/>
      <c r="C2" s="520"/>
      <c r="D2" s="520"/>
      <c r="E2" s="520"/>
      <c r="F2" s="513" t="str">
        <f>'1 خلاصه مالی صورت‌حساب'!A2</f>
        <v>صورت حساب  شماره :</v>
      </c>
      <c r="G2" s="513"/>
      <c r="H2" s="514"/>
      <c r="O2" s="30" t="s">
        <v>159</v>
      </c>
    </row>
    <row r="3" spans="1:15" s="31" customFormat="1" ht="27" customHeight="1" thickBot="1">
      <c r="A3" s="521"/>
      <c r="B3" s="522"/>
      <c r="C3" s="522"/>
      <c r="D3" s="522"/>
      <c r="E3" s="522"/>
      <c r="F3" s="523" t="s">
        <v>173</v>
      </c>
      <c r="G3" s="523"/>
      <c r="H3" s="524"/>
    </row>
    <row r="4" spans="1:15" s="32" customFormat="1" ht="34.5" customHeight="1">
      <c r="A4" s="508" t="s">
        <v>61</v>
      </c>
      <c r="B4" s="509"/>
      <c r="C4" s="509"/>
      <c r="D4" s="509"/>
      <c r="E4" s="509"/>
      <c r="F4" s="509"/>
      <c r="G4" s="509"/>
      <c r="H4" s="510"/>
      <c r="I4" s="46" t="s">
        <v>103</v>
      </c>
    </row>
    <row r="5" spans="1:15" s="33" customFormat="1" ht="30" customHeight="1">
      <c r="A5" s="532" t="s">
        <v>3</v>
      </c>
      <c r="B5" s="511" t="s">
        <v>11</v>
      </c>
      <c r="C5" s="511" t="s">
        <v>62</v>
      </c>
      <c r="D5" s="512" t="s">
        <v>117</v>
      </c>
      <c r="E5" s="512" t="s">
        <v>38</v>
      </c>
      <c r="F5" s="511" t="s">
        <v>39</v>
      </c>
      <c r="G5" s="530" t="s">
        <v>82</v>
      </c>
      <c r="H5" s="94" t="s">
        <v>40</v>
      </c>
    </row>
    <row r="6" spans="1:15" s="34" customFormat="1" ht="30" customHeight="1" thickBot="1">
      <c r="A6" s="533"/>
      <c r="B6" s="512"/>
      <c r="C6" s="512"/>
      <c r="D6" s="534"/>
      <c r="E6" s="534"/>
      <c r="F6" s="512"/>
      <c r="G6" s="531"/>
      <c r="H6" s="95" t="s">
        <v>93</v>
      </c>
    </row>
    <row r="7" spans="1:15" ht="30" customHeight="1" thickBot="1">
      <c r="A7" s="90">
        <v>301010000</v>
      </c>
      <c r="B7" s="91" t="s">
        <v>63</v>
      </c>
      <c r="C7" s="92"/>
      <c r="D7" s="92"/>
      <c r="E7" s="92"/>
      <c r="F7" s="140"/>
      <c r="G7" s="140"/>
      <c r="H7" s="93"/>
    </row>
    <row r="8" spans="1:15" ht="30" customHeight="1">
      <c r="A8" s="88">
        <v>301010100</v>
      </c>
      <c r="B8" s="75" t="s">
        <v>41</v>
      </c>
      <c r="C8" s="54"/>
      <c r="D8" s="54"/>
      <c r="E8" s="70"/>
      <c r="F8" s="141"/>
      <c r="G8" s="141"/>
      <c r="H8" s="89"/>
    </row>
    <row r="9" spans="1:15" ht="30" customHeight="1">
      <c r="A9" s="80">
        <v>301010101</v>
      </c>
      <c r="B9" s="55" t="s">
        <v>42</v>
      </c>
      <c r="C9" s="56" t="s">
        <v>43</v>
      </c>
      <c r="D9" s="56" t="s">
        <v>158</v>
      </c>
      <c r="E9" s="57">
        <v>3300000</v>
      </c>
      <c r="F9" s="142">
        <v>0.62</v>
      </c>
      <c r="G9" s="142">
        <v>1.25</v>
      </c>
      <c r="H9" s="175">
        <f>IF(D9="خدمات ارائه شده است",E9*F9*G9,0)</f>
        <v>2557500</v>
      </c>
    </row>
    <row r="10" spans="1:15" ht="30" customHeight="1">
      <c r="A10" s="80">
        <v>301010102</v>
      </c>
      <c r="B10" s="55" t="s">
        <v>64</v>
      </c>
      <c r="C10" s="56" t="s">
        <v>43</v>
      </c>
      <c r="D10" s="56" t="s">
        <v>158</v>
      </c>
      <c r="E10" s="57">
        <v>6800000</v>
      </c>
      <c r="F10" s="142">
        <v>0.62</v>
      </c>
      <c r="G10" s="142">
        <f>G$9</f>
        <v>1.25</v>
      </c>
      <c r="H10" s="175">
        <f t="shared" ref="H10:H40" si="0">IF(D10="خدمات ارائه شده است",E10*F10*G10,0)</f>
        <v>5270000</v>
      </c>
    </row>
    <row r="11" spans="1:15" s="35" customFormat="1" ht="30" customHeight="1">
      <c r="A11" s="80">
        <v>301010103</v>
      </c>
      <c r="B11" s="55" t="s">
        <v>65</v>
      </c>
      <c r="C11" s="56" t="s">
        <v>43</v>
      </c>
      <c r="D11" s="56" t="s">
        <v>158</v>
      </c>
      <c r="E11" s="57">
        <v>6800000</v>
      </c>
      <c r="F11" s="142">
        <v>0.62</v>
      </c>
      <c r="G11" s="142">
        <f t="shared" ref="G11:G40" si="1">G$9</f>
        <v>1.25</v>
      </c>
      <c r="H11" s="175">
        <f t="shared" si="0"/>
        <v>5270000</v>
      </c>
    </row>
    <row r="12" spans="1:15" s="34" customFormat="1" ht="30" customHeight="1">
      <c r="A12" s="80">
        <v>301010104</v>
      </c>
      <c r="B12" s="55" t="s">
        <v>66</v>
      </c>
      <c r="C12" s="56" t="s">
        <v>43</v>
      </c>
      <c r="D12" s="56" t="s">
        <v>158</v>
      </c>
      <c r="E12" s="57">
        <v>6800000</v>
      </c>
      <c r="F12" s="142">
        <v>0.62</v>
      </c>
      <c r="G12" s="142">
        <f t="shared" si="1"/>
        <v>1.25</v>
      </c>
      <c r="H12" s="175">
        <f t="shared" si="0"/>
        <v>5270000</v>
      </c>
    </row>
    <row r="13" spans="1:15" s="36" customFormat="1" ht="30" customHeight="1" thickBot="1">
      <c r="A13" s="73">
        <v>301010105</v>
      </c>
      <c r="B13" s="62" t="s">
        <v>67</v>
      </c>
      <c r="C13" s="74" t="s">
        <v>43</v>
      </c>
      <c r="D13" s="56" t="s">
        <v>158</v>
      </c>
      <c r="E13" s="57">
        <v>6800000</v>
      </c>
      <c r="F13" s="143">
        <v>0.62</v>
      </c>
      <c r="G13" s="143">
        <f t="shared" si="1"/>
        <v>1.25</v>
      </c>
      <c r="H13" s="176">
        <f t="shared" si="0"/>
        <v>5270000</v>
      </c>
    </row>
    <row r="14" spans="1:15" ht="30" customHeight="1">
      <c r="A14" s="88">
        <v>301010200</v>
      </c>
      <c r="B14" s="75" t="s">
        <v>44</v>
      </c>
      <c r="C14" s="54"/>
      <c r="D14" s="54"/>
      <c r="E14" s="70"/>
      <c r="F14" s="141"/>
      <c r="G14" s="141"/>
      <c r="H14" s="177"/>
    </row>
    <row r="15" spans="1:15" ht="30" customHeight="1">
      <c r="A15" s="59">
        <v>301010201</v>
      </c>
      <c r="B15" s="55" t="s">
        <v>45</v>
      </c>
      <c r="C15" s="60" t="s">
        <v>43</v>
      </c>
      <c r="D15" s="60" t="s">
        <v>158</v>
      </c>
      <c r="E15" s="57">
        <v>8400000</v>
      </c>
      <c r="F15" s="142">
        <v>0.62</v>
      </c>
      <c r="G15" s="142">
        <f t="shared" si="1"/>
        <v>1.25</v>
      </c>
      <c r="H15" s="175">
        <f t="shared" si="0"/>
        <v>6510000</v>
      </c>
    </row>
    <row r="16" spans="1:15" ht="30" customHeight="1">
      <c r="A16" s="59">
        <v>301010202</v>
      </c>
      <c r="B16" s="55" t="s">
        <v>68</v>
      </c>
      <c r="C16" s="60" t="s">
        <v>43</v>
      </c>
      <c r="D16" s="60" t="s">
        <v>158</v>
      </c>
      <c r="E16" s="57">
        <v>6800000</v>
      </c>
      <c r="F16" s="142">
        <v>0.62</v>
      </c>
      <c r="G16" s="142">
        <f t="shared" si="1"/>
        <v>1.25</v>
      </c>
      <c r="H16" s="175">
        <f t="shared" si="0"/>
        <v>5270000</v>
      </c>
    </row>
    <row r="17" spans="1:8" ht="30" customHeight="1">
      <c r="A17" s="59">
        <v>301010203</v>
      </c>
      <c r="B17" s="55" t="s">
        <v>69</v>
      </c>
      <c r="C17" s="60" t="s">
        <v>43</v>
      </c>
      <c r="D17" s="60" t="s">
        <v>158</v>
      </c>
      <c r="E17" s="57">
        <v>6800000</v>
      </c>
      <c r="F17" s="142">
        <v>0.62</v>
      </c>
      <c r="G17" s="142">
        <f t="shared" si="1"/>
        <v>1.25</v>
      </c>
      <c r="H17" s="175">
        <f t="shared" si="0"/>
        <v>5270000</v>
      </c>
    </row>
    <row r="18" spans="1:8" s="34" customFormat="1" ht="30" customHeight="1">
      <c r="A18" s="59">
        <v>301010204</v>
      </c>
      <c r="B18" s="55" t="s">
        <v>70</v>
      </c>
      <c r="C18" s="60" t="s">
        <v>43</v>
      </c>
      <c r="D18" s="60" t="s">
        <v>158</v>
      </c>
      <c r="E18" s="57">
        <v>6800000</v>
      </c>
      <c r="F18" s="142">
        <v>0.62</v>
      </c>
      <c r="G18" s="142">
        <f t="shared" si="1"/>
        <v>1.25</v>
      </c>
      <c r="H18" s="175">
        <f t="shared" si="0"/>
        <v>5270000</v>
      </c>
    </row>
    <row r="19" spans="1:8" ht="30" customHeight="1" thickBot="1">
      <c r="A19" s="61">
        <v>301010205</v>
      </c>
      <c r="B19" s="62" t="s">
        <v>46</v>
      </c>
      <c r="C19" s="63" t="s">
        <v>43</v>
      </c>
      <c r="D19" s="60" t="s">
        <v>158</v>
      </c>
      <c r="E19" s="57">
        <v>6800000</v>
      </c>
      <c r="F19" s="143">
        <v>0.62</v>
      </c>
      <c r="G19" s="143">
        <f t="shared" si="1"/>
        <v>1.25</v>
      </c>
      <c r="H19" s="176">
        <f t="shared" si="0"/>
        <v>5270000</v>
      </c>
    </row>
    <row r="20" spans="1:8" s="32" customFormat="1" ht="30" customHeight="1">
      <c r="A20" s="86">
        <v>301020000</v>
      </c>
      <c r="B20" s="53" t="s">
        <v>47</v>
      </c>
      <c r="C20" s="79"/>
      <c r="D20" s="79"/>
      <c r="E20" s="87"/>
      <c r="F20" s="87"/>
      <c r="G20" s="87"/>
      <c r="H20" s="178"/>
    </row>
    <row r="21" spans="1:8" ht="30" customHeight="1">
      <c r="A21" s="65">
        <v>301020100</v>
      </c>
      <c r="B21" s="55" t="s">
        <v>71</v>
      </c>
      <c r="C21" s="66" t="s">
        <v>43</v>
      </c>
      <c r="D21" s="60" t="s">
        <v>158</v>
      </c>
      <c r="E21" s="58">
        <v>41900000</v>
      </c>
      <c r="F21" s="144">
        <v>0.62</v>
      </c>
      <c r="G21" s="144">
        <f t="shared" si="1"/>
        <v>1.25</v>
      </c>
      <c r="H21" s="179">
        <f t="shared" si="0"/>
        <v>32472500</v>
      </c>
    </row>
    <row r="22" spans="1:8" ht="30" customHeight="1">
      <c r="A22" s="65">
        <v>301020200</v>
      </c>
      <c r="B22" s="55" t="s">
        <v>72</v>
      </c>
      <c r="C22" s="66" t="s">
        <v>43</v>
      </c>
      <c r="D22" s="60" t="s">
        <v>158</v>
      </c>
      <c r="E22" s="58">
        <v>41900000</v>
      </c>
      <c r="F22" s="144">
        <v>0.62</v>
      </c>
      <c r="G22" s="144">
        <f t="shared" si="1"/>
        <v>1.25</v>
      </c>
      <c r="H22" s="179">
        <f t="shared" si="0"/>
        <v>32472500</v>
      </c>
    </row>
    <row r="23" spans="1:8" ht="30" customHeight="1">
      <c r="A23" s="65">
        <v>301020300</v>
      </c>
      <c r="B23" s="55" t="s">
        <v>188</v>
      </c>
      <c r="C23" s="66" t="s">
        <v>43</v>
      </c>
      <c r="D23" s="60" t="s">
        <v>158</v>
      </c>
      <c r="E23" s="58">
        <v>21800000</v>
      </c>
      <c r="F23" s="144">
        <v>0.62</v>
      </c>
      <c r="G23" s="144">
        <f t="shared" si="1"/>
        <v>1.25</v>
      </c>
      <c r="H23" s="179">
        <f t="shared" si="0"/>
        <v>16895000</v>
      </c>
    </row>
    <row r="24" spans="1:8" ht="30" customHeight="1">
      <c r="A24" s="65">
        <v>301020400</v>
      </c>
      <c r="B24" s="55" t="s">
        <v>73</v>
      </c>
      <c r="C24" s="66" t="s">
        <v>74</v>
      </c>
      <c r="D24" s="60" t="s">
        <v>158</v>
      </c>
      <c r="E24" s="58">
        <v>77000000</v>
      </c>
      <c r="F24" s="144">
        <v>0.62</v>
      </c>
      <c r="G24" s="144">
        <f t="shared" si="1"/>
        <v>1.25</v>
      </c>
      <c r="H24" s="179">
        <f t="shared" si="0"/>
        <v>59675000</v>
      </c>
    </row>
    <row r="25" spans="1:8" s="36" customFormat="1" ht="30" customHeight="1">
      <c r="A25" s="65">
        <v>301020500</v>
      </c>
      <c r="B25" s="55" t="s">
        <v>48</v>
      </c>
      <c r="C25" s="66" t="s">
        <v>49</v>
      </c>
      <c r="D25" s="60" t="s">
        <v>158</v>
      </c>
      <c r="E25" s="58">
        <v>8400000</v>
      </c>
      <c r="F25" s="144">
        <v>0.62</v>
      </c>
      <c r="G25" s="144">
        <f t="shared" si="1"/>
        <v>1.25</v>
      </c>
      <c r="H25" s="179">
        <f t="shared" si="0"/>
        <v>6510000</v>
      </c>
    </row>
    <row r="26" spans="1:8" ht="30" customHeight="1" thickBot="1">
      <c r="A26" s="67">
        <v>301020600</v>
      </c>
      <c r="B26" s="62" t="s">
        <v>50</v>
      </c>
      <c r="C26" s="68" t="s">
        <v>49</v>
      </c>
      <c r="D26" s="60" t="s">
        <v>158</v>
      </c>
      <c r="E26" s="58">
        <v>8400000</v>
      </c>
      <c r="F26" s="145">
        <v>0.62</v>
      </c>
      <c r="G26" s="145">
        <f t="shared" si="1"/>
        <v>1.25</v>
      </c>
      <c r="H26" s="180">
        <f t="shared" si="0"/>
        <v>6510000</v>
      </c>
    </row>
    <row r="27" spans="1:8" s="32" customFormat="1" ht="30" customHeight="1">
      <c r="A27" s="52">
        <v>301030000</v>
      </c>
      <c r="B27" s="53" t="s">
        <v>51</v>
      </c>
      <c r="C27" s="69"/>
      <c r="D27" s="69"/>
      <c r="E27" s="70"/>
      <c r="F27" s="141"/>
      <c r="G27" s="141"/>
      <c r="H27" s="177"/>
    </row>
    <row r="28" spans="1:8" ht="42" customHeight="1">
      <c r="A28" s="80">
        <v>301030100</v>
      </c>
      <c r="B28" s="55" t="s">
        <v>186</v>
      </c>
      <c r="C28" s="66" t="s">
        <v>118</v>
      </c>
      <c r="D28" s="60" t="s">
        <v>158</v>
      </c>
      <c r="E28" s="58">
        <v>26900000</v>
      </c>
      <c r="F28" s="144">
        <v>0.62</v>
      </c>
      <c r="G28" s="144">
        <f t="shared" si="1"/>
        <v>1.25</v>
      </c>
      <c r="H28" s="179">
        <f t="shared" si="0"/>
        <v>20847500</v>
      </c>
    </row>
    <row r="29" spans="1:8" ht="30" customHeight="1">
      <c r="A29" s="80">
        <v>301030200</v>
      </c>
      <c r="B29" s="55" t="s">
        <v>185</v>
      </c>
      <c r="C29" s="71" t="s">
        <v>49</v>
      </c>
      <c r="D29" s="60" t="s">
        <v>158</v>
      </c>
      <c r="E29" s="58">
        <v>13300000</v>
      </c>
      <c r="F29" s="144">
        <v>0.62</v>
      </c>
      <c r="G29" s="144">
        <f t="shared" si="1"/>
        <v>1.25</v>
      </c>
      <c r="H29" s="179">
        <f t="shared" si="0"/>
        <v>10307500</v>
      </c>
    </row>
    <row r="30" spans="1:8" ht="30" customHeight="1">
      <c r="A30" s="80">
        <v>301030300</v>
      </c>
      <c r="B30" s="55" t="s">
        <v>75</v>
      </c>
      <c r="C30" s="71" t="s">
        <v>52</v>
      </c>
      <c r="D30" s="60" t="s">
        <v>158</v>
      </c>
      <c r="E30" s="58">
        <v>13300000</v>
      </c>
      <c r="F30" s="144">
        <v>0.62</v>
      </c>
      <c r="G30" s="144">
        <f t="shared" si="1"/>
        <v>1.25</v>
      </c>
      <c r="H30" s="179">
        <f t="shared" si="0"/>
        <v>10307500</v>
      </c>
    </row>
    <row r="31" spans="1:8" ht="30" customHeight="1">
      <c r="A31" s="80">
        <v>301030400</v>
      </c>
      <c r="B31" s="55" t="s">
        <v>76</v>
      </c>
      <c r="C31" s="71" t="s">
        <v>43</v>
      </c>
      <c r="D31" s="60" t="s">
        <v>158</v>
      </c>
      <c r="E31" s="58">
        <v>13300000</v>
      </c>
      <c r="F31" s="144">
        <v>0.62</v>
      </c>
      <c r="G31" s="144">
        <f t="shared" si="1"/>
        <v>1.25</v>
      </c>
      <c r="H31" s="179">
        <f t="shared" si="0"/>
        <v>10307500</v>
      </c>
    </row>
    <row r="32" spans="1:8" s="34" customFormat="1" ht="30" customHeight="1" thickBot="1">
      <c r="A32" s="80">
        <v>301030500</v>
      </c>
      <c r="B32" s="72" t="s">
        <v>77</v>
      </c>
      <c r="C32" s="71" t="s">
        <v>43</v>
      </c>
      <c r="D32" s="60" t="s">
        <v>158</v>
      </c>
      <c r="E32" s="58">
        <v>20100000</v>
      </c>
      <c r="F32" s="144">
        <v>0.62</v>
      </c>
      <c r="G32" s="144">
        <f t="shared" si="1"/>
        <v>1.25</v>
      </c>
      <c r="H32" s="179">
        <f t="shared" si="0"/>
        <v>15577500</v>
      </c>
    </row>
    <row r="33" spans="1:8" ht="30" customHeight="1">
      <c r="A33" s="52">
        <v>301040000</v>
      </c>
      <c r="B33" s="53" t="s">
        <v>53</v>
      </c>
      <c r="C33" s="70"/>
      <c r="D33" s="70"/>
      <c r="E33" s="70"/>
      <c r="F33" s="141"/>
      <c r="G33" s="141"/>
      <c r="H33" s="177"/>
    </row>
    <row r="34" spans="1:8" s="34" customFormat="1" ht="30" customHeight="1" thickBot="1">
      <c r="A34" s="80">
        <v>301040100</v>
      </c>
      <c r="B34" s="55" t="s">
        <v>191</v>
      </c>
      <c r="C34" s="71" t="s">
        <v>78</v>
      </c>
      <c r="D34" s="60" t="s">
        <v>158</v>
      </c>
      <c r="E34" s="58">
        <v>32500000</v>
      </c>
      <c r="F34" s="144">
        <v>0.62</v>
      </c>
      <c r="G34" s="144">
        <f t="shared" si="1"/>
        <v>1.25</v>
      </c>
      <c r="H34" s="179">
        <f t="shared" si="0"/>
        <v>25187500</v>
      </c>
    </row>
    <row r="35" spans="1:8" ht="30" customHeight="1">
      <c r="A35" s="52">
        <v>301050000</v>
      </c>
      <c r="B35" s="75" t="s">
        <v>79</v>
      </c>
      <c r="C35" s="70"/>
      <c r="D35" s="70"/>
      <c r="E35" s="70"/>
      <c r="F35" s="141"/>
      <c r="G35" s="141"/>
      <c r="H35" s="177"/>
    </row>
    <row r="36" spans="1:8" s="34" customFormat="1" ht="30" customHeight="1" thickBot="1">
      <c r="A36" s="73">
        <v>301050100</v>
      </c>
      <c r="B36" s="76" t="s">
        <v>99</v>
      </c>
      <c r="C36" s="77" t="s">
        <v>43</v>
      </c>
      <c r="D36" s="60" t="s">
        <v>158</v>
      </c>
      <c r="E36" s="64">
        <v>13300000</v>
      </c>
      <c r="F36" s="145">
        <v>0.62</v>
      </c>
      <c r="G36" s="145">
        <f t="shared" si="1"/>
        <v>1.25</v>
      </c>
      <c r="H36" s="180">
        <f t="shared" si="0"/>
        <v>10307500</v>
      </c>
    </row>
    <row r="37" spans="1:8" ht="30" customHeight="1">
      <c r="A37" s="52">
        <v>301060000</v>
      </c>
      <c r="B37" s="53" t="s">
        <v>80</v>
      </c>
      <c r="C37" s="78"/>
      <c r="D37" s="78"/>
      <c r="E37" s="70"/>
      <c r="F37" s="141"/>
      <c r="G37" s="141"/>
      <c r="H37" s="177"/>
    </row>
    <row r="38" spans="1:8" ht="30" customHeight="1" thickBot="1">
      <c r="A38" s="67">
        <v>301060100</v>
      </c>
      <c r="B38" s="76" t="s">
        <v>54</v>
      </c>
      <c r="C38" s="68" t="s">
        <v>43</v>
      </c>
      <c r="D38" s="60" t="s">
        <v>158</v>
      </c>
      <c r="E38" s="81">
        <v>35100000</v>
      </c>
      <c r="F38" s="146">
        <v>0.62</v>
      </c>
      <c r="G38" s="146">
        <f t="shared" si="1"/>
        <v>1.25</v>
      </c>
      <c r="H38" s="181">
        <f t="shared" si="0"/>
        <v>27202500</v>
      </c>
    </row>
    <row r="39" spans="1:8" ht="30" customHeight="1">
      <c r="A39" s="52">
        <v>301070000</v>
      </c>
      <c r="B39" s="53" t="s">
        <v>55</v>
      </c>
      <c r="C39" s="79"/>
      <c r="D39" s="79"/>
      <c r="E39" s="70"/>
      <c r="F39" s="141"/>
      <c r="G39" s="141"/>
      <c r="H39" s="177"/>
    </row>
    <row r="40" spans="1:8" ht="30" customHeight="1" thickBot="1">
      <c r="A40" s="67">
        <v>301070100</v>
      </c>
      <c r="B40" s="76" t="s">
        <v>56</v>
      </c>
      <c r="C40" s="68" t="s">
        <v>57</v>
      </c>
      <c r="D40" s="60" t="s">
        <v>158</v>
      </c>
      <c r="E40" s="81">
        <v>13300000</v>
      </c>
      <c r="F40" s="146">
        <v>0.62</v>
      </c>
      <c r="G40" s="146">
        <f t="shared" si="1"/>
        <v>1.25</v>
      </c>
      <c r="H40" s="181">
        <f t="shared" si="0"/>
        <v>10307500</v>
      </c>
    </row>
    <row r="41" spans="1:8" ht="30" customHeight="1" thickBot="1">
      <c r="A41" s="525" t="s">
        <v>94</v>
      </c>
      <c r="B41" s="526"/>
      <c r="C41" s="526"/>
      <c r="D41" s="526"/>
      <c r="E41" s="526"/>
      <c r="F41" s="527"/>
      <c r="G41" s="528">
        <f>SUM(H9:H40)</f>
        <v>346115000</v>
      </c>
      <c r="H41" s="529"/>
    </row>
  </sheetData>
  <mergeCells count="14">
    <mergeCell ref="A41:F41"/>
    <mergeCell ref="G41:H41"/>
    <mergeCell ref="G5:G6"/>
    <mergeCell ref="A5:A6"/>
    <mergeCell ref="B5:B6"/>
    <mergeCell ref="D5:D6"/>
    <mergeCell ref="E5:E6"/>
    <mergeCell ref="A4:H4"/>
    <mergeCell ref="C5:C6"/>
    <mergeCell ref="F5:F6"/>
    <mergeCell ref="F2:H2"/>
    <mergeCell ref="F1:H1"/>
    <mergeCell ref="A1:E3"/>
    <mergeCell ref="F3:H3"/>
  </mergeCells>
  <dataValidations count="1">
    <dataValidation type="list" allowBlank="1" showInputMessage="1" showErrorMessage="1" sqref="D9:D13 D21:D26 D36 D28:D32 D38 D15:D19 D40 D34">
      <formula1>$O$1:$O$2</formula1>
    </dataValidation>
  </dataValidations>
  <printOptions horizontalCentered="1"/>
  <pageMargins left="0.2" right="0.2" top="0.5" bottom="0.25" header="0.3" footer="0.3"/>
  <pageSetup paperSize="9" scale="59" orientation="portrait" r:id="rId1"/>
  <headerFooter>
    <oddFooter>&amp;L&amp;"B Nazanin,Bold"&amp;14مهر و امضاء کارفرما:&amp;R&amp;"B Nazanin,Bold"&amp;14مهر و امضاء مهندسین مشاور:</oddFooter>
  </headerFooter>
  <rowBreaks count="1" manualBreakCount="1">
    <brk id="29" max="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operator="beginsWith" id="{E64CBECB-EC11-41B9-87A1-ECEF06E388D9}">
            <xm:f>LEFT(D7,LEN($O$2))=$O$2</xm:f>
            <xm:f>$O$2</xm:f>
            <x14:dxf>
              <fill>
                <patternFill>
                  <bgColor rgb="FFFF0000"/>
                </patternFill>
              </fill>
            </x14:dxf>
          </x14:cfRule>
          <xm:sqref>D7:D40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499984740745262"/>
    <pageSetUpPr fitToPage="1"/>
  </sheetPr>
  <dimension ref="A1:AF26"/>
  <sheetViews>
    <sheetView rightToLeft="1" view="pageBreakPreview" topLeftCell="G1" zoomScale="40" zoomScaleNormal="40" zoomScaleSheetLayoutView="40" workbookViewId="0">
      <selection activeCell="W19" sqref="W19:X19"/>
    </sheetView>
  </sheetViews>
  <sheetFormatPr defaultColWidth="9.1796875" defaultRowHeight="29.25" customHeight="1"/>
  <cols>
    <col min="1" max="1" width="28.7265625" style="1" customWidth="1"/>
    <col min="2" max="2" width="24.453125" style="1" customWidth="1"/>
    <col min="3" max="3" width="23.1796875" style="1" customWidth="1"/>
    <col min="4" max="4" width="11.453125" style="2" customWidth="1"/>
    <col min="5" max="5" width="12.81640625" style="1" customWidth="1"/>
    <col min="6" max="6" width="16.81640625" style="1" customWidth="1"/>
    <col min="7" max="7" width="55.7265625" style="1" customWidth="1"/>
    <col min="8" max="8" width="10.1796875" style="1" customWidth="1"/>
    <col min="9" max="9" width="5.453125" style="1" customWidth="1"/>
    <col min="10" max="10" width="9.26953125" style="1" customWidth="1"/>
    <col min="11" max="11" width="12.54296875" style="1" customWidth="1"/>
    <col min="12" max="12" width="9.26953125" style="1" customWidth="1"/>
    <col min="13" max="13" width="16.1796875" style="1" customWidth="1"/>
    <col min="14" max="14" width="9.81640625" style="1" customWidth="1"/>
    <col min="15" max="15" width="16" style="1" customWidth="1"/>
    <col min="16" max="16" width="6.453125" style="1" customWidth="1"/>
    <col min="17" max="17" width="9.453125" style="1" customWidth="1"/>
    <col min="18" max="18" width="15.81640625" style="1" customWidth="1"/>
    <col min="19" max="19" width="14.453125" style="1" customWidth="1"/>
    <col min="20" max="20" width="17.81640625" style="1" customWidth="1"/>
    <col min="21" max="21" width="21.81640625" style="1" customWidth="1"/>
    <col min="22" max="22" width="17.81640625" style="1" customWidth="1"/>
    <col min="23" max="23" width="10.7265625" style="1" customWidth="1"/>
    <col min="24" max="24" width="46.1796875" style="1" customWidth="1"/>
    <col min="25" max="25" width="19" style="1" customWidth="1"/>
    <col min="26" max="26" width="12.453125" style="1" customWidth="1"/>
    <col min="27" max="27" width="26.54296875" style="1" customWidth="1"/>
    <col min="28" max="28" width="15.26953125" style="1" customWidth="1"/>
    <col min="29" max="29" width="24.1796875" style="1" customWidth="1"/>
    <col min="30" max="30" width="16.453125" style="1" hidden="1" customWidth="1"/>
    <col min="31" max="31" width="35.1796875" style="1" customWidth="1"/>
    <col min="32" max="32" width="39.54296875" customWidth="1"/>
    <col min="33" max="16384" width="9.1796875" style="1"/>
  </cols>
  <sheetData>
    <row r="1" spans="1:32" ht="29.25" customHeight="1" thickBot="1"/>
    <row r="2" spans="1:32" ht="54.75" customHeight="1" thickBot="1">
      <c r="A2" s="535" t="s">
        <v>151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7"/>
      <c r="V2" s="423" t="str">
        <f>'1 خلاصه مالی صورت‌حساب'!E2</f>
        <v xml:space="preserve">دوره کارکرد : 1403/01/01   تا 1403/01/31 </v>
      </c>
      <c r="W2" s="423"/>
      <c r="X2" s="424"/>
      <c r="Y2" s="3"/>
      <c r="Z2" s="3"/>
      <c r="AA2" s="3"/>
      <c r="AB2" s="3"/>
      <c r="AC2" s="3"/>
      <c r="AD2" s="3"/>
      <c r="AE2" s="4"/>
    </row>
    <row r="3" spans="1:32" ht="53.25" customHeight="1" thickBot="1">
      <c r="A3" s="538"/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40"/>
      <c r="V3" s="544" t="str">
        <f>'1 خلاصه مالی صورت‌حساب'!A2</f>
        <v>صورت حساب  شماره :</v>
      </c>
      <c r="W3" s="544"/>
      <c r="X3" s="545"/>
      <c r="Y3" s="3"/>
      <c r="Z3" s="3"/>
      <c r="AA3" s="3"/>
      <c r="AB3" s="3"/>
      <c r="AC3" s="3"/>
      <c r="AD3" s="3"/>
      <c r="AE3" s="3"/>
    </row>
    <row r="4" spans="1:32" ht="51" customHeight="1" thickBot="1">
      <c r="A4" s="541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3"/>
      <c r="V4" s="544" t="s">
        <v>172</v>
      </c>
      <c r="W4" s="544"/>
      <c r="X4" s="545"/>
      <c r="Y4" s="3"/>
      <c r="Z4" s="3"/>
      <c r="AA4" s="3"/>
      <c r="AB4" s="3"/>
      <c r="AC4" s="3"/>
      <c r="AD4" s="3"/>
      <c r="AE4" s="3"/>
    </row>
    <row r="5" spans="1:32" ht="60.75" customHeight="1">
      <c r="A5" s="599" t="s">
        <v>3</v>
      </c>
      <c r="B5" s="555" t="s">
        <v>4</v>
      </c>
      <c r="C5" s="555" t="s">
        <v>5</v>
      </c>
      <c r="D5" s="555" t="s">
        <v>0</v>
      </c>
      <c r="E5" s="555"/>
      <c r="F5" s="597" t="s">
        <v>192</v>
      </c>
      <c r="G5" s="597" t="s">
        <v>193</v>
      </c>
      <c r="H5" s="555" t="s">
        <v>90</v>
      </c>
      <c r="I5" s="555"/>
      <c r="J5" s="555"/>
      <c r="K5" s="555"/>
      <c r="L5" s="550" t="s">
        <v>7</v>
      </c>
      <c r="M5" s="550"/>
      <c r="N5" s="550" t="s">
        <v>8</v>
      </c>
      <c r="O5" s="550"/>
      <c r="P5" s="555" t="s">
        <v>89</v>
      </c>
      <c r="Q5" s="555"/>
      <c r="R5" s="555"/>
      <c r="S5" s="555"/>
      <c r="T5" s="555"/>
      <c r="U5" s="555"/>
      <c r="V5" s="555"/>
      <c r="W5" s="555"/>
      <c r="X5" s="556"/>
      <c r="Y5" s="195" t="s">
        <v>164</v>
      </c>
    </row>
    <row r="6" spans="1:32" ht="108" customHeight="1" thickBot="1">
      <c r="A6" s="600"/>
      <c r="B6" s="601"/>
      <c r="C6" s="601"/>
      <c r="D6" s="601"/>
      <c r="E6" s="601"/>
      <c r="F6" s="598"/>
      <c r="G6" s="598"/>
      <c r="H6" s="601"/>
      <c r="I6" s="601"/>
      <c r="J6" s="601"/>
      <c r="K6" s="601"/>
      <c r="L6" s="551"/>
      <c r="M6" s="551"/>
      <c r="N6" s="551"/>
      <c r="O6" s="551"/>
      <c r="P6" s="546" t="s">
        <v>9</v>
      </c>
      <c r="Q6" s="546"/>
      <c r="R6" s="546"/>
      <c r="S6" s="557" t="s">
        <v>10</v>
      </c>
      <c r="T6" s="557"/>
      <c r="U6" s="132" t="s">
        <v>97</v>
      </c>
      <c r="V6" s="132" t="s">
        <v>81</v>
      </c>
      <c r="W6" s="557" t="s">
        <v>166</v>
      </c>
      <c r="X6" s="558"/>
      <c r="Y6" s="186"/>
    </row>
    <row r="7" spans="1:32" ht="50.15" customHeight="1">
      <c r="A7" s="50">
        <v>303010000</v>
      </c>
      <c r="B7" s="130">
        <v>1</v>
      </c>
      <c r="C7" s="130">
        <v>5</v>
      </c>
      <c r="D7" s="566">
        <v>0</v>
      </c>
      <c r="E7" s="566"/>
      <c r="F7" s="204">
        <v>0</v>
      </c>
      <c r="G7" s="230">
        <f>F7*W7*$W$18</f>
        <v>0</v>
      </c>
      <c r="H7" s="567">
        <v>1795000</v>
      </c>
      <c r="I7" s="568"/>
      <c r="J7" s="568"/>
      <c r="K7" s="569"/>
      <c r="L7" s="552"/>
      <c r="M7" s="552"/>
      <c r="N7" s="552"/>
      <c r="O7" s="552"/>
      <c r="P7" s="562">
        <f>L7*H7</f>
        <v>0</v>
      </c>
      <c r="Q7" s="562"/>
      <c r="R7" s="562"/>
      <c r="S7" s="559">
        <f t="shared" ref="S7:S16" si="0">1.4*N7*H7</f>
        <v>0</v>
      </c>
      <c r="T7" s="559"/>
      <c r="U7" s="131">
        <v>1.6</v>
      </c>
      <c r="V7" s="182">
        <v>1.25</v>
      </c>
      <c r="W7" s="552">
        <f t="shared" ref="W7:W16" si="1">(P7+S7)*U7*V7</f>
        <v>0</v>
      </c>
      <c r="X7" s="560"/>
      <c r="Y7" s="186"/>
    </row>
    <row r="8" spans="1:32" ht="50.15" customHeight="1">
      <c r="A8" s="41">
        <v>303020000</v>
      </c>
      <c r="B8" s="128">
        <v>1</v>
      </c>
      <c r="C8" s="128">
        <v>4</v>
      </c>
      <c r="D8" s="570">
        <v>1</v>
      </c>
      <c r="E8" s="570"/>
      <c r="F8" s="205">
        <v>0</v>
      </c>
      <c r="G8" s="231">
        <f t="shared" ref="G8:G16" si="2">F8*W8*$W$18</f>
        <v>0</v>
      </c>
      <c r="H8" s="571">
        <v>1912000</v>
      </c>
      <c r="I8" s="572">
        <v>403</v>
      </c>
      <c r="J8" s="572">
        <v>403</v>
      </c>
      <c r="K8" s="573">
        <v>403</v>
      </c>
      <c r="L8" s="553"/>
      <c r="M8" s="553"/>
      <c r="N8" s="553"/>
      <c r="O8" s="553"/>
      <c r="P8" s="563">
        <f t="shared" ref="P8:P16" si="3">L8*H8</f>
        <v>0</v>
      </c>
      <c r="Q8" s="563"/>
      <c r="R8" s="563"/>
      <c r="S8" s="561">
        <f t="shared" si="0"/>
        <v>0</v>
      </c>
      <c r="T8" s="561"/>
      <c r="U8" s="126">
        <v>1.6</v>
      </c>
      <c r="V8" s="183">
        <v>1.25</v>
      </c>
      <c r="W8" s="553">
        <f t="shared" si="1"/>
        <v>0</v>
      </c>
      <c r="X8" s="579"/>
      <c r="Y8" s="1" t="s">
        <v>162</v>
      </c>
    </row>
    <row r="9" spans="1:32" s="9" customFormat="1" ht="50.15" customHeight="1">
      <c r="A9" s="42">
        <v>303030000</v>
      </c>
      <c r="B9" s="129">
        <v>1</v>
      </c>
      <c r="C9" s="129">
        <v>3</v>
      </c>
      <c r="D9" s="574">
        <v>2</v>
      </c>
      <c r="E9" s="574"/>
      <c r="F9" s="206">
        <v>0</v>
      </c>
      <c r="G9" s="232">
        <f t="shared" si="2"/>
        <v>0</v>
      </c>
      <c r="H9" s="575">
        <v>2149000</v>
      </c>
      <c r="I9" s="576">
        <v>453</v>
      </c>
      <c r="J9" s="576">
        <v>453</v>
      </c>
      <c r="K9" s="577">
        <v>453</v>
      </c>
      <c r="L9" s="554">
        <v>0</v>
      </c>
      <c r="M9" s="554"/>
      <c r="N9" s="554"/>
      <c r="O9" s="554"/>
      <c r="P9" s="547">
        <f t="shared" ref="P9" si="4">L9*H9</f>
        <v>0</v>
      </c>
      <c r="Q9" s="548"/>
      <c r="R9" s="549"/>
      <c r="S9" s="564">
        <f t="shared" si="0"/>
        <v>0</v>
      </c>
      <c r="T9" s="564"/>
      <c r="U9" s="127">
        <v>1.6</v>
      </c>
      <c r="V9" s="184">
        <v>1.25</v>
      </c>
      <c r="W9" s="554">
        <f>(P9+S9)*U9*V9</f>
        <v>0</v>
      </c>
      <c r="X9" s="565"/>
      <c r="Y9" s="1"/>
      <c r="Z9" s="1"/>
      <c r="AA9" s="1"/>
      <c r="AB9" s="1"/>
      <c r="AC9" s="1"/>
      <c r="AD9" s="1"/>
      <c r="AE9" s="1"/>
      <c r="AF9" s="8"/>
    </row>
    <row r="10" spans="1:32" s="9" customFormat="1" ht="50.15" customHeight="1">
      <c r="A10" s="41">
        <v>303040000</v>
      </c>
      <c r="B10" s="128">
        <v>1</v>
      </c>
      <c r="C10" s="128">
        <v>2</v>
      </c>
      <c r="D10" s="570">
        <v>0</v>
      </c>
      <c r="E10" s="570"/>
      <c r="F10" s="205">
        <v>0</v>
      </c>
      <c r="G10" s="231">
        <f t="shared" si="2"/>
        <v>0</v>
      </c>
      <c r="H10" s="571">
        <v>2499000</v>
      </c>
      <c r="I10" s="572">
        <v>526</v>
      </c>
      <c r="J10" s="572">
        <v>526</v>
      </c>
      <c r="K10" s="573">
        <v>526</v>
      </c>
      <c r="L10" s="553">
        <v>200</v>
      </c>
      <c r="M10" s="553"/>
      <c r="N10" s="553"/>
      <c r="O10" s="553"/>
      <c r="P10" s="563">
        <f t="shared" si="3"/>
        <v>499800000</v>
      </c>
      <c r="Q10" s="563"/>
      <c r="R10" s="563"/>
      <c r="S10" s="561">
        <f t="shared" si="0"/>
        <v>0</v>
      </c>
      <c r="T10" s="561"/>
      <c r="U10" s="126">
        <v>1.6</v>
      </c>
      <c r="V10" s="183">
        <v>1.25</v>
      </c>
      <c r="W10" s="553">
        <f t="shared" si="1"/>
        <v>999600000</v>
      </c>
      <c r="X10" s="579"/>
      <c r="Y10" s="1"/>
      <c r="Z10" s="1"/>
      <c r="AA10" s="1"/>
      <c r="AB10" s="1"/>
      <c r="AC10" s="1"/>
      <c r="AD10" s="1"/>
      <c r="AE10" s="1"/>
      <c r="AF10" s="8"/>
    </row>
    <row r="11" spans="1:32" s="6" customFormat="1" ht="50.15" customHeight="1">
      <c r="A11" s="42">
        <v>303050000</v>
      </c>
      <c r="B11" s="129">
        <v>1</v>
      </c>
      <c r="C11" s="129">
        <v>1</v>
      </c>
      <c r="D11" s="574">
        <v>1</v>
      </c>
      <c r="E11" s="574"/>
      <c r="F11" s="206">
        <v>1</v>
      </c>
      <c r="G11" s="232">
        <f t="shared" si="2"/>
        <v>1578444000</v>
      </c>
      <c r="H11" s="575">
        <v>2967000</v>
      </c>
      <c r="I11" s="576">
        <v>625</v>
      </c>
      <c r="J11" s="576">
        <v>625</v>
      </c>
      <c r="K11" s="577">
        <v>625</v>
      </c>
      <c r="L11" s="554">
        <v>200</v>
      </c>
      <c r="M11" s="554"/>
      <c r="N11" s="554"/>
      <c r="O11" s="554"/>
      <c r="P11" s="578">
        <f t="shared" si="3"/>
        <v>593400000</v>
      </c>
      <c r="Q11" s="578"/>
      <c r="R11" s="578"/>
      <c r="S11" s="564">
        <f t="shared" si="0"/>
        <v>0</v>
      </c>
      <c r="T11" s="564"/>
      <c r="U11" s="127">
        <v>1.6</v>
      </c>
      <c r="V11" s="184">
        <v>1.25</v>
      </c>
      <c r="W11" s="554">
        <f t="shared" si="1"/>
        <v>1186800000</v>
      </c>
      <c r="X11" s="565"/>
      <c r="Y11" s="26"/>
      <c r="Z11" s="1"/>
      <c r="AA11" s="1"/>
      <c r="AB11" s="1"/>
      <c r="AC11" s="1"/>
      <c r="AD11" s="1"/>
      <c r="AE11" s="1"/>
      <c r="AF11" s="5"/>
    </row>
    <row r="12" spans="1:32" s="9" customFormat="1" ht="50.15" customHeight="1">
      <c r="A12" s="41">
        <v>303060000</v>
      </c>
      <c r="B12" s="128">
        <v>2</v>
      </c>
      <c r="C12" s="128">
        <v>5</v>
      </c>
      <c r="D12" s="570">
        <v>0</v>
      </c>
      <c r="E12" s="570"/>
      <c r="F12" s="205">
        <v>0</v>
      </c>
      <c r="G12" s="231">
        <f t="shared" si="2"/>
        <v>0</v>
      </c>
      <c r="H12" s="571">
        <v>1445000</v>
      </c>
      <c r="I12" s="572">
        <v>305</v>
      </c>
      <c r="J12" s="572">
        <v>305</v>
      </c>
      <c r="K12" s="573">
        <v>305</v>
      </c>
      <c r="L12" s="553">
        <v>0</v>
      </c>
      <c r="M12" s="553"/>
      <c r="N12" s="553"/>
      <c r="O12" s="553"/>
      <c r="P12" s="563">
        <f t="shared" si="3"/>
        <v>0</v>
      </c>
      <c r="Q12" s="563"/>
      <c r="R12" s="563"/>
      <c r="S12" s="561">
        <f t="shared" si="0"/>
        <v>0</v>
      </c>
      <c r="T12" s="561"/>
      <c r="U12" s="126">
        <v>1.6</v>
      </c>
      <c r="V12" s="183">
        <v>1.25</v>
      </c>
      <c r="W12" s="553">
        <f t="shared" si="1"/>
        <v>0</v>
      </c>
      <c r="X12" s="579"/>
      <c r="Y12" s="25"/>
      <c r="Z12" s="1"/>
      <c r="AA12" s="1"/>
      <c r="AB12" s="1"/>
      <c r="AC12" s="1"/>
      <c r="AD12" s="1"/>
      <c r="AE12" s="1"/>
      <c r="AF12" s="8"/>
    </row>
    <row r="13" spans="1:32" s="6" customFormat="1" ht="50.15" customHeight="1">
      <c r="A13" s="42">
        <v>303070000</v>
      </c>
      <c r="B13" s="129">
        <v>2</v>
      </c>
      <c r="C13" s="129">
        <v>4</v>
      </c>
      <c r="D13" s="574">
        <v>1</v>
      </c>
      <c r="E13" s="574"/>
      <c r="F13" s="206">
        <v>0</v>
      </c>
      <c r="G13" s="232">
        <f t="shared" si="2"/>
        <v>0</v>
      </c>
      <c r="H13" s="575">
        <v>1564000</v>
      </c>
      <c r="I13" s="576">
        <v>329</v>
      </c>
      <c r="J13" s="576">
        <v>329</v>
      </c>
      <c r="K13" s="577">
        <v>329</v>
      </c>
      <c r="L13" s="554">
        <v>0</v>
      </c>
      <c r="M13" s="554"/>
      <c r="N13" s="554"/>
      <c r="O13" s="554"/>
      <c r="P13" s="578">
        <f t="shared" si="3"/>
        <v>0</v>
      </c>
      <c r="Q13" s="578"/>
      <c r="R13" s="578"/>
      <c r="S13" s="564">
        <f t="shared" si="0"/>
        <v>0</v>
      </c>
      <c r="T13" s="564"/>
      <c r="U13" s="127">
        <v>1.6</v>
      </c>
      <c r="V13" s="184">
        <v>1.25</v>
      </c>
      <c r="W13" s="554">
        <f>(P13+S13)*U13*V13</f>
        <v>0</v>
      </c>
      <c r="X13" s="565"/>
      <c r="Y13" s="1"/>
      <c r="Z13" s="1"/>
      <c r="AA13" s="1"/>
      <c r="AB13" s="1"/>
      <c r="AC13" s="1"/>
      <c r="AD13" s="1"/>
      <c r="AE13" s="1"/>
      <c r="AF13" s="5"/>
    </row>
    <row r="14" spans="1:32" s="9" customFormat="1" ht="50.15" customHeight="1">
      <c r="A14" s="41">
        <v>303080000</v>
      </c>
      <c r="B14" s="128">
        <v>2</v>
      </c>
      <c r="C14" s="128">
        <v>3</v>
      </c>
      <c r="D14" s="570">
        <v>0</v>
      </c>
      <c r="E14" s="570"/>
      <c r="F14" s="205">
        <v>0</v>
      </c>
      <c r="G14" s="231">
        <f t="shared" si="2"/>
        <v>0</v>
      </c>
      <c r="H14" s="571">
        <v>1718000</v>
      </c>
      <c r="I14" s="572">
        <v>329</v>
      </c>
      <c r="J14" s="572">
        <v>329</v>
      </c>
      <c r="K14" s="573">
        <v>329</v>
      </c>
      <c r="L14" s="553">
        <v>0</v>
      </c>
      <c r="M14" s="553"/>
      <c r="N14" s="553"/>
      <c r="O14" s="553"/>
      <c r="P14" s="563">
        <f t="shared" si="3"/>
        <v>0</v>
      </c>
      <c r="Q14" s="563"/>
      <c r="R14" s="563"/>
      <c r="S14" s="561">
        <f t="shared" si="0"/>
        <v>0</v>
      </c>
      <c r="T14" s="561"/>
      <c r="U14" s="126">
        <v>1.6</v>
      </c>
      <c r="V14" s="183">
        <v>1.25</v>
      </c>
      <c r="W14" s="553">
        <f t="shared" si="1"/>
        <v>0</v>
      </c>
      <c r="X14" s="579"/>
      <c r="Y14" s="1"/>
      <c r="Z14" s="1"/>
      <c r="AA14" s="1"/>
      <c r="AB14" s="1"/>
      <c r="AC14" s="1"/>
      <c r="AD14" s="1"/>
      <c r="AE14" s="1"/>
      <c r="AF14" s="8"/>
    </row>
    <row r="15" spans="1:32" s="6" customFormat="1" ht="50.15" customHeight="1">
      <c r="A15" s="42">
        <v>303090000</v>
      </c>
      <c r="B15" s="129">
        <v>2</v>
      </c>
      <c r="C15" s="129">
        <v>2</v>
      </c>
      <c r="D15" s="574">
        <v>0</v>
      </c>
      <c r="E15" s="574"/>
      <c r="F15" s="206">
        <v>0</v>
      </c>
      <c r="G15" s="232">
        <f t="shared" si="2"/>
        <v>0</v>
      </c>
      <c r="H15" s="575">
        <v>1989000</v>
      </c>
      <c r="I15" s="576">
        <v>329</v>
      </c>
      <c r="J15" s="576">
        <v>329</v>
      </c>
      <c r="K15" s="577">
        <v>329</v>
      </c>
      <c r="L15" s="554">
        <v>0</v>
      </c>
      <c r="M15" s="554"/>
      <c r="N15" s="554"/>
      <c r="O15" s="554"/>
      <c r="P15" s="578">
        <f t="shared" si="3"/>
        <v>0</v>
      </c>
      <c r="Q15" s="578"/>
      <c r="R15" s="578"/>
      <c r="S15" s="564">
        <f t="shared" si="0"/>
        <v>0</v>
      </c>
      <c r="T15" s="564"/>
      <c r="U15" s="127">
        <v>1.6</v>
      </c>
      <c r="V15" s="184">
        <v>1.25</v>
      </c>
      <c r="W15" s="554">
        <f t="shared" si="1"/>
        <v>0</v>
      </c>
      <c r="X15" s="565"/>
      <c r="Y15" s="1"/>
      <c r="Z15" s="1"/>
      <c r="AA15" s="1"/>
      <c r="AB15" s="1"/>
      <c r="AC15" s="1"/>
      <c r="AD15" s="1"/>
      <c r="AE15" s="1"/>
      <c r="AF15" s="5"/>
    </row>
    <row r="16" spans="1:32" ht="50.15" customHeight="1" thickBot="1">
      <c r="A16" s="51">
        <v>303100000</v>
      </c>
      <c r="B16" s="125">
        <v>2</v>
      </c>
      <c r="C16" s="125">
        <v>1</v>
      </c>
      <c r="D16" s="603">
        <v>0</v>
      </c>
      <c r="E16" s="603"/>
      <c r="F16" s="207">
        <v>0</v>
      </c>
      <c r="G16" s="233">
        <f t="shared" si="2"/>
        <v>0</v>
      </c>
      <c r="H16" s="571">
        <v>2226000</v>
      </c>
      <c r="I16" s="572">
        <v>329</v>
      </c>
      <c r="J16" s="572">
        <v>329</v>
      </c>
      <c r="K16" s="573">
        <v>329</v>
      </c>
      <c r="L16" s="580">
        <v>0</v>
      </c>
      <c r="M16" s="580"/>
      <c r="N16" s="580"/>
      <c r="O16" s="580"/>
      <c r="P16" s="604">
        <f t="shared" si="3"/>
        <v>0</v>
      </c>
      <c r="Q16" s="604"/>
      <c r="R16" s="604"/>
      <c r="S16" s="602">
        <f t="shared" si="0"/>
        <v>0</v>
      </c>
      <c r="T16" s="602"/>
      <c r="U16" s="124">
        <v>1.6</v>
      </c>
      <c r="V16" s="185">
        <v>1.25</v>
      </c>
      <c r="W16" s="580">
        <f t="shared" si="1"/>
        <v>0</v>
      </c>
      <c r="X16" s="605"/>
      <c r="AF16" s="7"/>
    </row>
    <row r="17" spans="1:32" ht="50.15" customHeight="1" thickBot="1">
      <c r="A17" s="595" t="s">
        <v>20</v>
      </c>
      <c r="B17" s="596"/>
      <c r="C17" s="596"/>
      <c r="D17" s="596"/>
      <c r="E17" s="596"/>
      <c r="F17" s="596"/>
      <c r="G17" s="596"/>
      <c r="H17" s="596"/>
      <c r="I17" s="596"/>
      <c r="J17" s="596"/>
      <c r="K17" s="596"/>
      <c r="L17" s="596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87">
        <f>SUM(W7:X16)</f>
        <v>2186400000</v>
      </c>
      <c r="X17" s="588"/>
      <c r="AF17" s="7"/>
    </row>
    <row r="18" spans="1:32" ht="50.15" customHeight="1" thickBot="1">
      <c r="A18" s="591" t="s">
        <v>100</v>
      </c>
      <c r="B18" s="592"/>
      <c r="C18" s="592"/>
      <c r="D18" s="592"/>
      <c r="E18" s="592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2"/>
      <c r="Q18" s="592"/>
      <c r="R18" s="592"/>
      <c r="S18" s="592"/>
      <c r="T18" s="592"/>
      <c r="U18" s="592"/>
      <c r="V18" s="592"/>
      <c r="W18" s="593">
        <v>1.33</v>
      </c>
      <c r="X18" s="594"/>
    </row>
    <row r="19" spans="1:32" ht="50.15" customHeight="1" thickBot="1">
      <c r="A19" s="595" t="s">
        <v>59</v>
      </c>
      <c r="B19" s="596"/>
      <c r="C19" s="596"/>
      <c r="D19" s="596"/>
      <c r="E19" s="596"/>
      <c r="F19" s="596"/>
      <c r="G19" s="596"/>
      <c r="H19" s="596"/>
      <c r="I19" s="596"/>
      <c r="J19" s="596"/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87">
        <f>W17*W18</f>
        <v>2907912000</v>
      </c>
      <c r="X19" s="588"/>
    </row>
    <row r="20" spans="1:32" ht="54.75" customHeight="1">
      <c r="A20" s="196" t="s">
        <v>176</v>
      </c>
      <c r="H20" s="47"/>
      <c r="I20" s="47"/>
      <c r="J20" s="47"/>
      <c r="K20" s="16"/>
    </row>
    <row r="21" spans="1:32" ht="40" customHeight="1"/>
    <row r="22" spans="1:32" ht="40" customHeight="1"/>
    <row r="23" spans="1:32" ht="40" customHeight="1"/>
    <row r="24" spans="1:32" ht="60" hidden="1" customHeight="1">
      <c r="L24" s="583" t="s">
        <v>22</v>
      </c>
      <c r="M24" s="583"/>
      <c r="N24" s="583"/>
      <c r="O24" s="583"/>
      <c r="P24" s="583"/>
      <c r="Q24" s="583"/>
      <c r="R24" s="583"/>
      <c r="S24" s="583"/>
      <c r="T24" s="583"/>
      <c r="U24" s="28"/>
      <c r="V24" s="28"/>
      <c r="W24" s="585"/>
      <c r="X24" s="586"/>
    </row>
    <row r="25" spans="1:32" ht="60" hidden="1" customHeight="1" thickBot="1">
      <c r="L25" s="584" t="s">
        <v>21</v>
      </c>
      <c r="M25" s="584"/>
      <c r="N25" s="584"/>
      <c r="O25" s="584"/>
      <c r="P25" s="584"/>
      <c r="Q25" s="584"/>
      <c r="R25" s="584"/>
      <c r="S25" s="584"/>
      <c r="T25" s="584"/>
      <c r="U25" s="29"/>
      <c r="V25" s="29"/>
      <c r="W25" s="589"/>
      <c r="X25" s="590"/>
    </row>
    <row r="26" spans="1:32" ht="60" hidden="1" customHeight="1" thickBot="1">
      <c r="L26" s="17"/>
      <c r="M26" s="17"/>
      <c r="N26" s="17"/>
      <c r="O26" s="17"/>
      <c r="P26" s="17"/>
      <c r="Q26" s="17"/>
      <c r="R26" s="17"/>
      <c r="S26" s="17"/>
      <c r="T26" s="18"/>
      <c r="U26" s="17"/>
      <c r="V26" s="17"/>
      <c r="W26" s="581"/>
      <c r="X26" s="582"/>
    </row>
  </sheetData>
  <mergeCells count="98">
    <mergeCell ref="F5:F6"/>
    <mergeCell ref="G5:G6"/>
    <mergeCell ref="V2:X2"/>
    <mergeCell ref="V3:X3"/>
    <mergeCell ref="A17:V17"/>
    <mergeCell ref="A5:A6"/>
    <mergeCell ref="B5:B6"/>
    <mergeCell ref="C5:C6"/>
    <mergeCell ref="S16:T16"/>
    <mergeCell ref="D16:E16"/>
    <mergeCell ref="H16:K16"/>
    <mergeCell ref="P16:R16"/>
    <mergeCell ref="D5:E6"/>
    <mergeCell ref="H5:K6"/>
    <mergeCell ref="W16:X16"/>
    <mergeCell ref="L16:M16"/>
    <mergeCell ref="N16:O16"/>
    <mergeCell ref="S10:T10"/>
    <mergeCell ref="S12:T12"/>
    <mergeCell ref="W12:X12"/>
    <mergeCell ref="W26:X26"/>
    <mergeCell ref="L24:T24"/>
    <mergeCell ref="L25:T25"/>
    <mergeCell ref="W24:X24"/>
    <mergeCell ref="W17:X17"/>
    <mergeCell ref="W25:X25"/>
    <mergeCell ref="A18:V18"/>
    <mergeCell ref="W18:X18"/>
    <mergeCell ref="A19:V19"/>
    <mergeCell ref="W19:X19"/>
    <mergeCell ref="S13:T13"/>
    <mergeCell ref="W13:X13"/>
    <mergeCell ref="S14:T14"/>
    <mergeCell ref="W14:X14"/>
    <mergeCell ref="S15:T15"/>
    <mergeCell ref="W15:X15"/>
    <mergeCell ref="D14:E14"/>
    <mergeCell ref="H14:K14"/>
    <mergeCell ref="P14:R14"/>
    <mergeCell ref="D15:E15"/>
    <mergeCell ref="H15:K15"/>
    <mergeCell ref="P15:R15"/>
    <mergeCell ref="L14:M14"/>
    <mergeCell ref="N14:O14"/>
    <mergeCell ref="L15:M15"/>
    <mergeCell ref="N15:O15"/>
    <mergeCell ref="D13:E13"/>
    <mergeCell ref="H13:K13"/>
    <mergeCell ref="P13:R13"/>
    <mergeCell ref="N12:O12"/>
    <mergeCell ref="L13:M13"/>
    <mergeCell ref="N13:O13"/>
    <mergeCell ref="L12:M12"/>
    <mergeCell ref="D12:E12"/>
    <mergeCell ref="H12:K12"/>
    <mergeCell ref="P12:R12"/>
    <mergeCell ref="D11:E11"/>
    <mergeCell ref="H11:K11"/>
    <mergeCell ref="P11:R11"/>
    <mergeCell ref="W8:X8"/>
    <mergeCell ref="D9:E9"/>
    <mergeCell ref="H9:K9"/>
    <mergeCell ref="L10:M10"/>
    <mergeCell ref="N10:O10"/>
    <mergeCell ref="L11:M11"/>
    <mergeCell ref="N11:O11"/>
    <mergeCell ref="D10:E10"/>
    <mergeCell ref="H10:K10"/>
    <mergeCell ref="W10:X10"/>
    <mergeCell ref="S11:T11"/>
    <mergeCell ref="W11:X11"/>
    <mergeCell ref="D7:E7"/>
    <mergeCell ref="H7:K7"/>
    <mergeCell ref="D8:E8"/>
    <mergeCell ref="H8:K8"/>
    <mergeCell ref="P10:R10"/>
    <mergeCell ref="W7:X7"/>
    <mergeCell ref="S8:T8"/>
    <mergeCell ref="P7:R7"/>
    <mergeCell ref="P8:R8"/>
    <mergeCell ref="S9:T9"/>
    <mergeCell ref="W9:X9"/>
    <mergeCell ref="A2:U4"/>
    <mergeCell ref="V4:X4"/>
    <mergeCell ref="P6:R6"/>
    <mergeCell ref="P9:R9"/>
    <mergeCell ref="L5:M6"/>
    <mergeCell ref="N5:O6"/>
    <mergeCell ref="L7:M7"/>
    <mergeCell ref="N7:O7"/>
    <mergeCell ref="L8:M8"/>
    <mergeCell ref="N8:O8"/>
    <mergeCell ref="L9:M9"/>
    <mergeCell ref="N9:O9"/>
    <mergeCell ref="P5:X5"/>
    <mergeCell ref="S6:T6"/>
    <mergeCell ref="W6:X6"/>
    <mergeCell ref="S7:T7"/>
  </mergeCells>
  <phoneticPr fontId="8" type="noConversion"/>
  <conditionalFormatting sqref="F7:F16">
    <cfRule type="iconSet" priority="1">
      <iconSet iconSet="3Symbols" showValue="0">
        <cfvo type="percent" val="0"/>
        <cfvo type="percent" val="33"/>
        <cfvo type="percent" val="67"/>
      </iconSet>
    </cfRule>
    <cfRule type="iconSet" priority="3">
      <iconSet iconSet="3Symbols">
        <cfvo type="percent" val="0"/>
        <cfvo type="percent" val="33"/>
        <cfvo type="percent" val="67"/>
      </iconSet>
    </cfRule>
  </conditionalFormatting>
  <printOptions horizontalCentered="1"/>
  <pageMargins left="0.23622047244094499" right="0.23622047244094499" top="0.511811023622047" bottom="0.23622047244094499" header="0.31496062992126" footer="0.31496062992126"/>
  <pageSetup paperSize="9" scale="34" orientation="landscape" r:id="rId1"/>
  <headerFooter alignWithMargins="0">
    <oddFooter>&amp;L&amp;"B Nazanin,Bold"&amp;26مهر و امضاء کارفرما:&amp;R&amp;"B Nazanin,Bold"&amp;26مهر و امضاء مهندسین مشاور: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rightToLeft="1" view="pageBreakPreview" topLeftCell="F1" zoomScaleNormal="100" zoomScaleSheetLayoutView="100" workbookViewId="0">
      <selection activeCell="D8" sqref="D8"/>
    </sheetView>
  </sheetViews>
  <sheetFormatPr defaultColWidth="9.1796875" defaultRowHeight="14.5"/>
  <cols>
    <col min="1" max="1" width="7.7265625" style="96" customWidth="1"/>
    <col min="2" max="2" width="17.453125" style="96" customWidth="1"/>
    <col min="3" max="3" width="22.81640625" style="96" customWidth="1"/>
    <col min="4" max="4" width="16.26953125" style="96" customWidth="1"/>
    <col min="5" max="5" width="16.81640625" style="96" customWidth="1"/>
    <col min="6" max="6" width="18.453125" style="96" customWidth="1"/>
    <col min="7" max="7" width="13.1796875" style="96" customWidth="1"/>
    <col min="8" max="8" width="15.7265625" style="96" customWidth="1"/>
    <col min="9" max="16384" width="9.1796875" style="96"/>
  </cols>
  <sheetData>
    <row r="1" spans="1:9" ht="29.25" customHeight="1">
      <c r="A1" s="606" t="s">
        <v>152</v>
      </c>
      <c r="B1" s="607"/>
      <c r="C1" s="607"/>
      <c r="D1" s="607"/>
      <c r="E1" s="607"/>
      <c r="F1" s="607"/>
      <c r="G1" s="610" t="str">
        <f>'1 خلاصه مالی صورت‌حساب'!E2</f>
        <v xml:space="preserve">دوره کارکرد : 1403/01/01   تا 1403/01/31 </v>
      </c>
      <c r="H1" s="611"/>
    </row>
    <row r="2" spans="1:9" ht="24.75" customHeight="1" thickBot="1">
      <c r="A2" s="608"/>
      <c r="B2" s="609"/>
      <c r="C2" s="609"/>
      <c r="D2" s="609"/>
      <c r="E2" s="609"/>
      <c r="F2" s="609"/>
      <c r="G2" s="612" t="str">
        <f>'1 خلاصه مالی صورت‌حساب'!A2</f>
        <v>صورت حساب  شماره :</v>
      </c>
      <c r="H2" s="613"/>
    </row>
    <row r="3" spans="1:9" ht="40" customHeight="1">
      <c r="A3" s="106" t="s">
        <v>2</v>
      </c>
      <c r="B3" s="105" t="s">
        <v>106</v>
      </c>
      <c r="C3" s="105" t="s">
        <v>108</v>
      </c>
      <c r="D3" s="147" t="s">
        <v>139</v>
      </c>
      <c r="E3" s="105" t="s">
        <v>4</v>
      </c>
      <c r="F3" s="105" t="s">
        <v>115</v>
      </c>
      <c r="G3" s="105" t="s">
        <v>107</v>
      </c>
      <c r="H3" s="107" t="s">
        <v>114</v>
      </c>
    </row>
    <row r="4" spans="1:9" ht="40" customHeight="1">
      <c r="A4" s="97">
        <v>1</v>
      </c>
      <c r="B4" s="101"/>
      <c r="C4" s="102" t="s">
        <v>109</v>
      </c>
      <c r="D4" s="102" t="s">
        <v>196</v>
      </c>
      <c r="E4" s="102">
        <v>1</v>
      </c>
      <c r="F4" s="102">
        <v>1</v>
      </c>
      <c r="G4" s="98">
        <v>20</v>
      </c>
      <c r="H4" s="108">
        <v>150</v>
      </c>
    </row>
    <row r="5" spans="1:9" ht="40" customHeight="1">
      <c r="A5" s="97">
        <v>2</v>
      </c>
      <c r="B5" s="101"/>
      <c r="C5" s="102" t="s">
        <v>110</v>
      </c>
      <c r="D5" s="102" t="s">
        <v>197</v>
      </c>
      <c r="E5" s="102">
        <v>1</v>
      </c>
      <c r="F5" s="102">
        <v>3</v>
      </c>
      <c r="G5" s="98">
        <v>15</v>
      </c>
      <c r="H5" s="108">
        <v>120</v>
      </c>
      <c r="I5" s="112"/>
    </row>
    <row r="6" spans="1:9" ht="40" customHeight="1">
      <c r="A6" s="97">
        <v>3</v>
      </c>
      <c r="B6" s="101"/>
      <c r="C6" s="102" t="s">
        <v>111</v>
      </c>
      <c r="D6" s="102" t="s">
        <v>198</v>
      </c>
      <c r="E6" s="102">
        <v>1</v>
      </c>
      <c r="F6" s="102">
        <v>3</v>
      </c>
      <c r="G6" s="98">
        <v>22</v>
      </c>
      <c r="H6" s="108">
        <v>176</v>
      </c>
      <c r="I6" s="112"/>
    </row>
    <row r="7" spans="1:9" ht="40" customHeight="1">
      <c r="A7" s="97">
        <v>4</v>
      </c>
      <c r="B7" s="101"/>
      <c r="C7" s="102" t="s">
        <v>112</v>
      </c>
      <c r="D7" s="102" t="s">
        <v>199</v>
      </c>
      <c r="E7" s="102">
        <v>1</v>
      </c>
      <c r="F7" s="102">
        <v>4</v>
      </c>
      <c r="G7" s="98">
        <v>23</v>
      </c>
      <c r="H7" s="108">
        <v>176</v>
      </c>
      <c r="I7" s="112"/>
    </row>
    <row r="8" spans="1:9" ht="40" customHeight="1" thickBot="1">
      <c r="A8" s="99">
        <v>5</v>
      </c>
      <c r="B8" s="103"/>
      <c r="C8" s="104" t="s">
        <v>113</v>
      </c>
      <c r="D8" s="104" t="s">
        <v>199</v>
      </c>
      <c r="E8" s="104">
        <v>2</v>
      </c>
      <c r="F8" s="104">
        <v>4</v>
      </c>
      <c r="G8" s="100">
        <v>23</v>
      </c>
      <c r="H8" s="109">
        <v>176</v>
      </c>
      <c r="I8" s="112"/>
    </row>
    <row r="9" spans="1:9" ht="25.5" customHeight="1">
      <c r="A9" s="111" t="s">
        <v>116</v>
      </c>
      <c r="H9" s="110"/>
    </row>
    <row r="10" spans="1:9">
      <c r="A10" s="111" t="s">
        <v>175</v>
      </c>
    </row>
  </sheetData>
  <mergeCells count="3">
    <mergeCell ref="A1:F2"/>
    <mergeCell ref="G1:H1"/>
    <mergeCell ref="G2:H2"/>
  </mergeCells>
  <dataValidations count="1">
    <dataValidation type="whole" operator="lessThanOrEqual" allowBlank="1" showInputMessage="1" showErrorMessage="1" errorTitle="سقف 250 ساعت !!!" error="بر اساس بند 3-3-2-2-2 بخشنامه حداکثر ساعت کاری هر یک از عوامل 250 ساعت می‌باشد." sqref="H4:H8">
      <formula1>250</formula1>
    </dataValidation>
  </dataValidations>
  <printOptions horizontalCentered="1"/>
  <pageMargins left="0.23599999999999999" right="0.23599999999999999" top="0.5" bottom="0.23599999999999999" header="0.3" footer="0.3"/>
  <pageSetup paperSize="9" orientation="landscape" r:id="rId1"/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O10"/>
  <sheetViews>
    <sheetView rightToLeft="1" tabSelected="1" view="pageBreakPreview" zoomScale="70" zoomScaleNormal="90" zoomScaleSheetLayoutView="70" workbookViewId="0">
      <selection activeCell="H9" sqref="G9:H9"/>
    </sheetView>
  </sheetViews>
  <sheetFormatPr defaultColWidth="9.1796875" defaultRowHeight="14.5"/>
  <cols>
    <col min="1" max="1" width="9.1796875" style="13"/>
    <col min="2" max="7" width="20.7265625" style="13" customWidth="1"/>
    <col min="8" max="8" width="22.54296875" style="14" customWidth="1"/>
    <col min="9" max="12" width="18.7265625" style="14" customWidth="1"/>
    <col min="13" max="13" width="18.7265625" style="13" customWidth="1"/>
    <col min="14" max="14" width="15.453125" style="13" customWidth="1"/>
    <col min="15" max="16384" width="9.1796875" style="13"/>
  </cols>
  <sheetData>
    <row r="1" spans="2:15" ht="46.5" customHeight="1" thickBot="1"/>
    <row r="2" spans="2:15" ht="18" customHeight="1">
      <c r="B2" s="39">
        <v>1</v>
      </c>
      <c r="C2" s="38">
        <v>2</v>
      </c>
      <c r="D2" s="38">
        <v>3</v>
      </c>
      <c r="E2" s="38">
        <v>4</v>
      </c>
      <c r="F2" s="38">
        <v>5</v>
      </c>
      <c r="G2" s="38">
        <v>6</v>
      </c>
      <c r="H2" s="154">
        <v>7</v>
      </c>
    </row>
    <row r="3" spans="2:15" ht="66.650000000000006" customHeight="1">
      <c r="B3" s="155" t="s">
        <v>149</v>
      </c>
      <c r="C3" s="148" t="s">
        <v>200</v>
      </c>
      <c r="D3" s="149" t="s">
        <v>144</v>
      </c>
      <c r="E3" s="149" t="s">
        <v>145</v>
      </c>
      <c r="F3" s="149" t="s">
        <v>146</v>
      </c>
      <c r="G3" s="149" t="s">
        <v>147</v>
      </c>
      <c r="H3" s="150" t="s">
        <v>148</v>
      </c>
      <c r="I3" s="13"/>
      <c r="J3" s="13"/>
      <c r="K3" s="13"/>
      <c r="L3" s="13"/>
    </row>
    <row r="4" spans="2:15" ht="47.25" customHeight="1" thickBot="1">
      <c r="B4" s="156">
        <v>250000000000</v>
      </c>
      <c r="C4" s="234">
        <v>1450000000</v>
      </c>
      <c r="D4" s="151">
        <v>5434920000</v>
      </c>
      <c r="E4" s="151">
        <v>17129022390</v>
      </c>
      <c r="F4" s="157">
        <v>1.25</v>
      </c>
      <c r="G4" s="157">
        <v>1.6</v>
      </c>
      <c r="H4" s="188">
        <v>1.33</v>
      </c>
      <c r="I4" s="13"/>
      <c r="J4" s="13"/>
      <c r="K4" s="13"/>
      <c r="L4" s="13"/>
    </row>
    <row r="5" spans="2:15" ht="21" customHeight="1" thickBot="1">
      <c r="B5" s="618" t="s">
        <v>181</v>
      </c>
      <c r="C5" s="619"/>
      <c r="D5" s="619"/>
      <c r="E5" s="619"/>
      <c r="F5" s="619"/>
      <c r="G5" s="619"/>
      <c r="H5" s="620"/>
      <c r="I5" s="20"/>
      <c r="J5" s="20"/>
      <c r="K5" s="20"/>
      <c r="L5" s="20"/>
      <c r="M5" s="21"/>
    </row>
    <row r="6" spans="2:15" ht="96.75" customHeight="1">
      <c r="B6" s="40" t="s">
        <v>141</v>
      </c>
      <c r="C6" s="152" t="s">
        <v>142</v>
      </c>
      <c r="D6" s="152" t="s">
        <v>83</v>
      </c>
      <c r="E6" s="152" t="s">
        <v>58</v>
      </c>
      <c r="F6" s="152" t="s">
        <v>36</v>
      </c>
      <c r="G6" s="152" t="s">
        <v>179</v>
      </c>
      <c r="H6" s="158" t="s">
        <v>177</v>
      </c>
      <c r="I6" s="22"/>
      <c r="J6" s="22"/>
      <c r="K6" s="22"/>
      <c r="L6" s="13"/>
    </row>
    <row r="7" spans="2:15" ht="30" customHeight="1" thickBot="1">
      <c r="B7" s="187">
        <f>'ورودی محاسبات صورت وضعیت'!Q41</f>
        <v>212267568383.14999</v>
      </c>
      <c r="C7" s="133">
        <f>'ورودی محاسبات صورت وضعیت'!Q42</f>
        <v>199476918944.47</v>
      </c>
      <c r="D7" s="133">
        <f>B7-C7</f>
        <v>12790649438.679993</v>
      </c>
      <c r="E7" s="153">
        <f>ROUND(D7/B4,4)</f>
        <v>5.1200000000000002E-2</v>
      </c>
      <c r="F7" s="133">
        <f>E7*D$4</f>
        <v>278267904</v>
      </c>
      <c r="G7" s="133">
        <f>'2 خدمات ماهانه حین اجرا '!G41</f>
        <v>346115000</v>
      </c>
      <c r="H7" s="159">
        <f>IF(G7&gt;F7,F7+0.35*(G7-F7),G7+0.35*(F7-G7))</f>
        <v>302014387.60000002</v>
      </c>
      <c r="I7" s="13"/>
      <c r="J7" s="13"/>
      <c r="K7" s="13"/>
      <c r="L7" s="13"/>
    </row>
    <row r="8" spans="2:15" ht="21" customHeight="1" thickBot="1">
      <c r="B8" s="618" t="s">
        <v>182</v>
      </c>
      <c r="C8" s="619"/>
      <c r="D8" s="619"/>
      <c r="E8" s="619"/>
      <c r="F8" s="619"/>
      <c r="G8" s="619"/>
      <c r="H8" s="620"/>
    </row>
    <row r="9" spans="2:15" s="19" customFormat="1" ht="73.5" customHeight="1">
      <c r="B9" s="40" t="s">
        <v>141</v>
      </c>
      <c r="C9" s="152" t="s">
        <v>142</v>
      </c>
      <c r="D9" s="152" t="s">
        <v>83</v>
      </c>
      <c r="E9" s="614" t="s">
        <v>98</v>
      </c>
      <c r="F9" s="615"/>
      <c r="G9" s="152" t="s">
        <v>180</v>
      </c>
      <c r="H9" s="158" t="s">
        <v>178</v>
      </c>
      <c r="I9" s="14"/>
      <c r="J9" s="14"/>
      <c r="K9" s="14"/>
      <c r="L9" s="14"/>
      <c r="M9" s="13"/>
      <c r="N9" s="13"/>
      <c r="O9" s="13"/>
    </row>
    <row r="10" spans="2:15" ht="33.75" customHeight="1" thickBot="1">
      <c r="B10" s="187">
        <f>'ورودی محاسبات صورت وضعیت'!Q41</f>
        <v>212267568383.14999</v>
      </c>
      <c r="C10" s="133">
        <f>'ورودی محاسبات صورت وضعیت'!Q42</f>
        <v>199476918944.47</v>
      </c>
      <c r="D10" s="133">
        <f>B10-C10</f>
        <v>12790649438.679993</v>
      </c>
      <c r="E10" s="616">
        <f>8*((D10/1000)^0.64)*F4*G4*H4*1.572*1000</f>
        <v>1182593334.5118484</v>
      </c>
      <c r="F10" s="617"/>
      <c r="G10" s="133">
        <f>'3 خدمات فنی کارگاهی'!W19</f>
        <v>2907912000</v>
      </c>
      <c r="H10" s="159">
        <f>MAX(IF(E10&gt;2*C4,IF(G10&gt;=E10,IF(G10&lt;3.5*E10,E10+0.4*(G10-E10),2*E10),IF(G10&lt;0.5*E10,G10,G10+0.4*(E10-G10))),IF(G10&gt;=E10,E10+0.4*(G10-E10),IF(G10&lt;0.5*E10,G10,G10+0.4*(E10-G10)))),SUM('3 خدمات فنی کارگاهی'!G7:G16))</f>
        <v>1872720800.707109</v>
      </c>
    </row>
  </sheetData>
  <mergeCells count="4">
    <mergeCell ref="E9:F9"/>
    <mergeCell ref="E10:F10"/>
    <mergeCell ref="B5:H5"/>
    <mergeCell ref="B8:H8"/>
  </mergeCells>
  <printOptions horizontalCentered="1"/>
  <pageMargins left="0.23622047244094499" right="0.23622047244094499" top="0.511811023622047" bottom="0.23622047244094499" header="0.31496062992126" footer="0.31496062992126"/>
  <pageSetup paperSize="9" scale="99" orientation="landscape" r:id="rId1"/>
  <headerFooter alignWithMargins="0">
    <oddFooter>&amp;L&amp;"B Nazanin,Bold"&amp;14مهر و امضاء کارفرما&amp;R&amp;"B Nazanin,Bold"&amp;14مهر و امضاء مهندسین مشاور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13"/>
  <sheetViews>
    <sheetView rightToLeft="1" view="pageBreakPreview" topLeftCell="J1" zoomScale="55" zoomScaleNormal="90" zoomScaleSheetLayoutView="55" workbookViewId="0">
      <selection activeCell="H9" sqref="H9:K9"/>
    </sheetView>
  </sheetViews>
  <sheetFormatPr defaultColWidth="9.1796875" defaultRowHeight="29.25" customHeight="1"/>
  <cols>
    <col min="1" max="1" width="34.1796875" style="1" customWidth="1"/>
    <col min="2" max="2" width="23" style="1" customWidth="1"/>
    <col min="3" max="3" width="24.1796875" style="1" customWidth="1"/>
    <col min="4" max="4" width="11.453125" style="2" customWidth="1"/>
    <col min="5" max="5" width="11.453125" style="1" customWidth="1"/>
    <col min="6" max="6" width="10.1796875" style="1" customWidth="1"/>
    <col min="7" max="7" width="44" style="1" customWidth="1"/>
    <col min="8" max="8" width="9.26953125" style="1" customWidth="1"/>
    <col min="9" max="9" width="9.54296875" style="1" customWidth="1"/>
    <col min="10" max="11" width="9.26953125" style="1" customWidth="1"/>
    <col min="12" max="13" width="9.81640625" style="1" customWidth="1"/>
    <col min="14" max="14" width="6.453125" style="1" customWidth="1"/>
    <col min="15" max="15" width="9.453125" style="1" customWidth="1"/>
    <col min="16" max="16" width="14" style="1" customWidth="1"/>
    <col min="17" max="17" width="11.54296875" style="1" customWidth="1"/>
    <col min="18" max="18" width="14.54296875" style="1" customWidth="1"/>
    <col min="19" max="19" width="10.7265625" style="1" customWidth="1"/>
    <col min="20" max="20" width="41.1796875" style="1" customWidth="1"/>
    <col min="21" max="21" width="11.81640625" style="1" customWidth="1"/>
    <col min="22" max="22" width="12.453125" style="1" customWidth="1"/>
    <col min="23" max="23" width="26.54296875" style="1" customWidth="1"/>
    <col min="24" max="24" width="15.26953125" style="1" hidden="1" customWidth="1"/>
    <col min="25" max="25" width="24.1796875" style="1" customWidth="1"/>
    <col min="26" max="26" width="16.453125" style="1" hidden="1" customWidth="1"/>
    <col min="27" max="27" width="35.1796875" style="1" customWidth="1"/>
    <col min="28" max="28" width="39.54296875" customWidth="1"/>
    <col min="29" max="16384" width="9.1796875" style="1"/>
  </cols>
  <sheetData>
    <row r="1" spans="1:27" ht="65.150000000000006" customHeight="1" thickBot="1">
      <c r="A1" s="535" t="s">
        <v>84</v>
      </c>
      <c r="B1" s="536"/>
      <c r="C1" s="536"/>
      <c r="D1" s="536"/>
      <c r="E1" s="536"/>
      <c r="F1" s="536"/>
      <c r="G1" s="536"/>
      <c r="H1" s="536"/>
      <c r="I1" s="536"/>
      <c r="J1" s="536"/>
      <c r="K1" s="537"/>
      <c r="L1" s="422" t="str">
        <f>'1 خلاصه مالی صورت‌حساب'!E2</f>
        <v xml:space="preserve">دوره کارکرد : 1403/01/01   تا 1403/01/31 </v>
      </c>
      <c r="M1" s="423"/>
      <c r="N1" s="423"/>
      <c r="O1" s="423"/>
      <c r="P1" s="423"/>
      <c r="Q1" s="423"/>
      <c r="R1" s="424"/>
      <c r="U1" s="3"/>
      <c r="V1" s="3"/>
      <c r="W1" s="3"/>
      <c r="X1" s="3"/>
      <c r="Y1" s="3"/>
      <c r="Z1" s="3"/>
      <c r="AA1" s="4"/>
    </row>
    <row r="2" spans="1:27" ht="65.150000000000006" customHeight="1" thickBot="1">
      <c r="A2" s="538"/>
      <c r="B2" s="539"/>
      <c r="C2" s="539"/>
      <c r="D2" s="539"/>
      <c r="E2" s="539"/>
      <c r="F2" s="539"/>
      <c r="G2" s="539"/>
      <c r="H2" s="539"/>
      <c r="I2" s="539"/>
      <c r="J2" s="539"/>
      <c r="K2" s="540"/>
      <c r="L2" s="422" t="str">
        <f>'1 خلاصه مالی صورت‌حساب'!A2</f>
        <v>صورت حساب  شماره :</v>
      </c>
      <c r="M2" s="423"/>
      <c r="N2" s="423"/>
      <c r="O2" s="423"/>
      <c r="P2" s="423"/>
      <c r="Q2" s="423"/>
      <c r="R2" s="424"/>
      <c r="U2" s="3"/>
      <c r="V2" s="3"/>
      <c r="W2" s="3"/>
      <c r="X2" s="3"/>
      <c r="Y2" s="3"/>
      <c r="Z2" s="3"/>
      <c r="AA2" s="3"/>
    </row>
    <row r="3" spans="1:27" ht="64.5" customHeight="1" thickBot="1">
      <c r="A3" s="541"/>
      <c r="B3" s="542"/>
      <c r="C3" s="542"/>
      <c r="D3" s="542"/>
      <c r="E3" s="542"/>
      <c r="F3" s="542"/>
      <c r="G3" s="542"/>
      <c r="H3" s="542"/>
      <c r="I3" s="542"/>
      <c r="J3" s="542"/>
      <c r="K3" s="543"/>
      <c r="L3" s="422" t="s">
        <v>171</v>
      </c>
      <c r="M3" s="423"/>
      <c r="N3" s="423"/>
      <c r="O3" s="423"/>
      <c r="P3" s="423"/>
      <c r="Q3" s="423"/>
      <c r="R3" s="424"/>
    </row>
    <row r="4" spans="1:27" ht="40" customHeight="1" thickBot="1">
      <c r="A4" s="174" t="s">
        <v>3</v>
      </c>
      <c r="B4" s="597" t="s">
        <v>11</v>
      </c>
      <c r="C4" s="597"/>
      <c r="D4" s="597"/>
      <c r="E4" s="597"/>
      <c r="F4" s="597"/>
      <c r="G4" s="597"/>
      <c r="H4" s="641" t="s">
        <v>6</v>
      </c>
      <c r="I4" s="641"/>
      <c r="J4" s="641"/>
      <c r="K4" s="641"/>
      <c r="L4" s="642" t="s">
        <v>0</v>
      </c>
      <c r="M4" s="642"/>
      <c r="N4" s="642"/>
      <c r="O4" s="642"/>
      <c r="P4" s="642" t="s">
        <v>1</v>
      </c>
      <c r="Q4" s="642"/>
      <c r="R4" s="643"/>
    </row>
    <row r="5" spans="1:27" ht="40" customHeight="1">
      <c r="A5" s="12">
        <v>501010000</v>
      </c>
      <c r="B5" s="636" t="s">
        <v>12</v>
      </c>
      <c r="C5" s="636"/>
      <c r="D5" s="636"/>
      <c r="E5" s="636"/>
      <c r="F5" s="636"/>
      <c r="G5" s="636"/>
      <c r="H5" s="637">
        <v>124500000</v>
      </c>
      <c r="I5" s="637"/>
      <c r="J5" s="637"/>
      <c r="K5" s="637"/>
      <c r="L5" s="638">
        <v>0</v>
      </c>
      <c r="M5" s="638"/>
      <c r="N5" s="638"/>
      <c r="O5" s="638"/>
      <c r="P5" s="639">
        <f t="shared" ref="P5:P12" si="0">H5*L5</f>
        <v>0</v>
      </c>
      <c r="Q5" s="639"/>
      <c r="R5" s="640"/>
      <c r="S5" s="48" t="s">
        <v>95</v>
      </c>
      <c r="T5" s="27"/>
    </row>
    <row r="6" spans="1:27" ht="40" customHeight="1">
      <c r="A6" s="10">
        <v>501020000</v>
      </c>
      <c r="B6" s="621" t="s">
        <v>13</v>
      </c>
      <c r="C6" s="621">
        <v>2</v>
      </c>
      <c r="D6" s="621"/>
      <c r="E6" s="621"/>
      <c r="F6" s="621"/>
      <c r="G6" s="621"/>
      <c r="H6" s="622">
        <v>31100000</v>
      </c>
      <c r="I6" s="622"/>
      <c r="J6" s="622"/>
      <c r="K6" s="622"/>
      <c r="L6" s="623">
        <v>0</v>
      </c>
      <c r="M6" s="623"/>
      <c r="N6" s="623"/>
      <c r="O6" s="623"/>
      <c r="P6" s="624">
        <f t="shared" si="0"/>
        <v>0</v>
      </c>
      <c r="Q6" s="624"/>
      <c r="R6" s="625"/>
      <c r="S6" s="48" t="s">
        <v>95</v>
      </c>
    </row>
    <row r="7" spans="1:27" ht="40" customHeight="1">
      <c r="A7" s="10">
        <v>501030000</v>
      </c>
      <c r="B7" s="621" t="s">
        <v>19</v>
      </c>
      <c r="C7" s="621">
        <v>3</v>
      </c>
      <c r="D7" s="621"/>
      <c r="E7" s="621"/>
      <c r="F7" s="621"/>
      <c r="G7" s="621"/>
      <c r="H7" s="622">
        <v>15100000</v>
      </c>
      <c r="I7" s="622"/>
      <c r="J7" s="622"/>
      <c r="K7" s="622"/>
      <c r="L7" s="623">
        <v>0</v>
      </c>
      <c r="M7" s="623"/>
      <c r="N7" s="623"/>
      <c r="O7" s="623"/>
      <c r="P7" s="624">
        <f t="shared" si="0"/>
        <v>0</v>
      </c>
      <c r="Q7" s="624"/>
      <c r="R7" s="625"/>
      <c r="S7" s="48" t="s">
        <v>95</v>
      </c>
      <c r="T7" s="27"/>
    </row>
    <row r="8" spans="1:27" ht="40" customHeight="1">
      <c r="A8" s="10">
        <v>501040000</v>
      </c>
      <c r="B8" s="621" t="s">
        <v>14</v>
      </c>
      <c r="C8" s="621">
        <v>4</v>
      </c>
      <c r="D8" s="621"/>
      <c r="E8" s="621"/>
      <c r="F8" s="621"/>
      <c r="G8" s="621"/>
      <c r="H8" s="622">
        <v>231100000</v>
      </c>
      <c r="I8" s="622"/>
      <c r="J8" s="622"/>
      <c r="K8" s="622"/>
      <c r="L8" s="623">
        <v>0</v>
      </c>
      <c r="M8" s="623"/>
      <c r="N8" s="623"/>
      <c r="O8" s="623"/>
      <c r="P8" s="624">
        <f t="shared" si="0"/>
        <v>0</v>
      </c>
      <c r="Q8" s="624"/>
      <c r="R8" s="625"/>
      <c r="S8" s="48" t="s">
        <v>96</v>
      </c>
    </row>
    <row r="9" spans="1:27" ht="40" customHeight="1">
      <c r="A9" s="10">
        <v>501050000</v>
      </c>
      <c r="B9" s="621" t="s">
        <v>15</v>
      </c>
      <c r="C9" s="621">
        <v>5</v>
      </c>
      <c r="D9" s="621"/>
      <c r="E9" s="621"/>
      <c r="F9" s="621"/>
      <c r="G9" s="621"/>
      <c r="H9" s="622">
        <v>0</v>
      </c>
      <c r="I9" s="622"/>
      <c r="J9" s="622"/>
      <c r="K9" s="622"/>
      <c r="L9" s="623">
        <v>0</v>
      </c>
      <c r="M9" s="623"/>
      <c r="N9" s="623"/>
      <c r="O9" s="623"/>
      <c r="P9" s="624">
        <f t="shared" si="0"/>
        <v>0</v>
      </c>
      <c r="Q9" s="624"/>
      <c r="R9" s="625"/>
      <c r="S9" s="48" t="s">
        <v>96</v>
      </c>
    </row>
    <row r="10" spans="1:27" ht="40" customHeight="1">
      <c r="A10" s="10">
        <v>501060000</v>
      </c>
      <c r="B10" s="621" t="s">
        <v>16</v>
      </c>
      <c r="C10" s="621">
        <v>1</v>
      </c>
      <c r="D10" s="621"/>
      <c r="E10" s="621"/>
      <c r="F10" s="621"/>
      <c r="G10" s="621"/>
      <c r="H10" s="622">
        <v>0</v>
      </c>
      <c r="I10" s="622"/>
      <c r="J10" s="622"/>
      <c r="K10" s="622"/>
      <c r="L10" s="623">
        <v>0</v>
      </c>
      <c r="M10" s="623"/>
      <c r="N10" s="623"/>
      <c r="O10" s="623"/>
      <c r="P10" s="624">
        <f t="shared" si="0"/>
        <v>0</v>
      </c>
      <c r="Q10" s="624"/>
      <c r="R10" s="625"/>
      <c r="S10" s="48" t="s">
        <v>96</v>
      </c>
    </row>
    <row r="11" spans="1:27" ht="40" customHeight="1">
      <c r="A11" s="10">
        <v>501070000</v>
      </c>
      <c r="B11" s="621" t="s">
        <v>17</v>
      </c>
      <c r="C11" s="621">
        <v>2</v>
      </c>
      <c r="D11" s="621"/>
      <c r="E11" s="621"/>
      <c r="F11" s="621"/>
      <c r="G11" s="621"/>
      <c r="H11" s="622">
        <v>0</v>
      </c>
      <c r="I11" s="622"/>
      <c r="J11" s="622"/>
      <c r="K11" s="622"/>
      <c r="L11" s="623">
        <v>0</v>
      </c>
      <c r="M11" s="623"/>
      <c r="N11" s="623"/>
      <c r="O11" s="623"/>
      <c r="P11" s="624">
        <f t="shared" si="0"/>
        <v>0</v>
      </c>
      <c r="Q11" s="624"/>
      <c r="R11" s="625"/>
      <c r="S11" s="48" t="s">
        <v>96</v>
      </c>
    </row>
    <row r="12" spans="1:27" ht="40" customHeight="1" thickBot="1">
      <c r="A12" s="11">
        <v>501080000</v>
      </c>
      <c r="B12" s="626" t="s">
        <v>18</v>
      </c>
      <c r="C12" s="626">
        <v>3</v>
      </c>
      <c r="D12" s="626"/>
      <c r="E12" s="626"/>
      <c r="F12" s="626"/>
      <c r="G12" s="626"/>
      <c r="H12" s="632">
        <v>0</v>
      </c>
      <c r="I12" s="632"/>
      <c r="J12" s="632"/>
      <c r="K12" s="632"/>
      <c r="L12" s="633">
        <v>0</v>
      </c>
      <c r="M12" s="633"/>
      <c r="N12" s="633"/>
      <c r="O12" s="633"/>
      <c r="P12" s="634">
        <f t="shared" si="0"/>
        <v>0</v>
      </c>
      <c r="Q12" s="634"/>
      <c r="R12" s="635"/>
      <c r="S12" s="48" t="s">
        <v>96</v>
      </c>
    </row>
    <row r="13" spans="1:27" ht="47.25" customHeight="1" thickBot="1">
      <c r="A13" s="627" t="s">
        <v>183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8"/>
      <c r="N13" s="628"/>
      <c r="O13" s="629"/>
      <c r="P13" s="630">
        <f>SUM(P5:R12)</f>
        <v>0</v>
      </c>
      <c r="Q13" s="630"/>
      <c r="R13" s="631"/>
    </row>
  </sheetData>
  <mergeCells count="42">
    <mergeCell ref="L1:R1"/>
    <mergeCell ref="L2:R2"/>
    <mergeCell ref="B4:G4"/>
    <mergeCell ref="H4:K4"/>
    <mergeCell ref="L4:O4"/>
    <mergeCell ref="P4:R4"/>
    <mergeCell ref="A1:K3"/>
    <mergeCell ref="L3:R3"/>
    <mergeCell ref="B5:G5"/>
    <mergeCell ref="H5:K5"/>
    <mergeCell ref="L5:O5"/>
    <mergeCell ref="P5:R5"/>
    <mergeCell ref="P7:R7"/>
    <mergeCell ref="B12:G12"/>
    <mergeCell ref="A13:O13"/>
    <mergeCell ref="P13:R13"/>
    <mergeCell ref="B6:G6"/>
    <mergeCell ref="H6:K6"/>
    <mergeCell ref="L6:O6"/>
    <mergeCell ref="P6:R6"/>
    <mergeCell ref="B7:G7"/>
    <mergeCell ref="H7:K7"/>
    <mergeCell ref="L7:O7"/>
    <mergeCell ref="H12:K12"/>
    <mergeCell ref="L12:O12"/>
    <mergeCell ref="P12:R12"/>
    <mergeCell ref="H9:K9"/>
    <mergeCell ref="L9:O9"/>
    <mergeCell ref="P9:R9"/>
    <mergeCell ref="B8:G8"/>
    <mergeCell ref="H8:K8"/>
    <mergeCell ref="L8:O8"/>
    <mergeCell ref="P8:R8"/>
    <mergeCell ref="B9:G9"/>
    <mergeCell ref="B11:G11"/>
    <mergeCell ref="H11:K11"/>
    <mergeCell ref="L11:O11"/>
    <mergeCell ref="P11:R11"/>
    <mergeCell ref="B10:G10"/>
    <mergeCell ref="H10:K10"/>
    <mergeCell ref="L10:O10"/>
    <mergeCell ref="P10:R10"/>
  </mergeCells>
  <printOptions horizontalCentered="1"/>
  <pageMargins left="0.23622047244094499" right="0.23622047244094499" top="0.511811023622047" bottom="0.23622047244094499" header="0.31496062992126" footer="0.31496062992126"/>
  <pageSetup paperSize="9" scale="53" orientation="landscape" r:id="rId1"/>
  <headerFooter alignWithMargins="0">
    <oddFooter>&amp;L&amp;"B Nazanin,Bold"&amp;26مهر و امضاء کارفرما&amp;R&amp;"B Nazanin,Bold"&amp;26مهر و امضاء مهندسین مشاور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0ed3d1fc-795f-4e02-92df-78b00a4d52ea" xsi:nil="true"/>
    <Zabeteh xmlns="0ed3d1fc-795f-4e02-92df-78b00a4d52ea">5894</Zabeteh>
    <dlcnt xmlns="57cc77e0-a3cd-49e6-ad4b-89ed8cc4558b">710</dlcn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198587C37634648BD66E429557CD7CF" ma:contentTypeVersion="3" ma:contentTypeDescription="ایجاد سند جدید" ma:contentTypeScope="" ma:versionID="3a99df09d9980017c5f08351b5be40e0">
  <xsd:schema xmlns:xsd="http://www.w3.org/2001/XMLSchema" xmlns:xs="http://www.w3.org/2001/XMLSchema" xmlns:p="http://schemas.microsoft.com/office/2006/metadata/properties" xmlns:ns2="0ed3d1fc-795f-4e02-92df-78b00a4d52ea" xmlns:ns3="57cc77e0-a3cd-49e6-ad4b-89ed8cc4558b" targetNamespace="http://schemas.microsoft.com/office/2006/metadata/properties" ma:root="true" ma:fieldsID="2809caf2d2ad02809310c91cba3805f9" ns2:_="" ns3:_="">
    <xsd:import namespace="0ed3d1fc-795f-4e02-92df-78b00a4d52ea"/>
    <xsd:import namespace="57cc77e0-a3cd-49e6-ad4b-89ed8cc4558b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3:dlcnt" minOccurs="0"/>
                <xsd:element ref="ns2:Zabete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3d1fc-795f-4e02-92df-78b00a4d52ea" elementFormDefault="qualified">
    <xsd:import namespace="http://schemas.microsoft.com/office/2006/documentManagement/types"/>
    <xsd:import namespace="http://schemas.microsoft.com/office/infopath/2007/PartnerControls"/>
    <xsd:element name="Description0" ma:index="8" nillable="true" ma:displayName="Description" ma:internalName="Description0">
      <xsd:simpleType>
        <xsd:restriction base="dms:Note">
          <xsd:maxLength value="255"/>
        </xsd:restriction>
      </xsd:simpleType>
    </xsd:element>
    <xsd:element name="Zabeteh" ma:index="10" nillable="true" ma:displayName="Zabeteh" ma:indexed="true" ma:list="{3b67f78d-efc4-46b8-ac29-b2dfe96d9edf}" ma:internalName="Zabeteh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c77e0-a3cd-49e6-ad4b-89ed8cc4558b" elementFormDefault="qualified">
    <xsd:import namespace="http://schemas.microsoft.com/office/2006/documentManagement/types"/>
    <xsd:import namespace="http://schemas.microsoft.com/office/infopath/2007/PartnerControls"/>
    <xsd:element name="dlcnt" ma:index="9" nillable="true" ma:displayName="dlcnt" ma:internalName="dlc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محتوا"/>
        <xsd:element ref="dc:title" minOccurs="0" maxOccurs="1" ma:index="4" ma:displayName="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5347E2-1CEA-4E2A-9A0A-A46DE8D6A5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17CFB-CDDB-451C-B069-9ED9EEF24CD4}">
  <ds:schemaRefs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0ed3d1fc-795f-4e02-92df-78b00a4d52ea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57cc77e0-a3cd-49e6-ad4b-89ed8cc4558b"/>
  </ds:schemaRefs>
</ds:datastoreItem>
</file>

<file path=customXml/itemProps3.xml><?xml version="1.0" encoding="utf-8"?>
<ds:datastoreItem xmlns:ds="http://schemas.openxmlformats.org/officeDocument/2006/customXml" ds:itemID="{0B5AE8E4-1ED0-4BB7-BBCF-069A00E648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3d1fc-795f-4e02-92df-78b00a4d52ea"/>
    <ds:schemaRef ds:uri="57cc77e0-a3cd-49e6-ad4b-89ed8cc45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ورودی محاسبات صورت وضعیت</vt:lpstr>
      <vt:lpstr>1 خلاصه مالی صورت‌حساب</vt:lpstr>
      <vt:lpstr>2 خدمات ماهانه حین اجرا </vt:lpstr>
      <vt:lpstr>3 خدمات فنی کارگاهی</vt:lpstr>
      <vt:lpstr>رتبه و طبقه شغلی</vt:lpstr>
      <vt:lpstr>4 پرداخت ماهانه و کارگاهی</vt:lpstr>
      <vt:lpstr>5 پرداخت پشتیبانی</vt:lpstr>
      <vt:lpstr>'1 خلاصه مالی صورت‌حساب'!Print_Area</vt:lpstr>
      <vt:lpstr>'2 خدمات ماهانه حین اجرا '!Print_Area</vt:lpstr>
      <vt:lpstr>'3 خدمات فنی کارگاهی'!Print_Area</vt:lpstr>
      <vt:lpstr>'4 پرداخت ماهانه و کارگاهی'!Print_Area</vt:lpstr>
      <vt:lpstr>'5 پرداخت پشتیبانی'!Print_Area</vt:lpstr>
      <vt:lpstr>'رتبه و طبقه شغلی'!Print_Area</vt:lpstr>
      <vt:lpstr>'ورودی محاسبات صورت وضعیت'!Print_Area</vt:lpstr>
      <vt:lpstr>'2 خدمات ماهانه حین اجرا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فايل اكسل راهنماي تهيه صورت‌حساب قرارداد نظارت- 1403</dc:title>
  <dc:creator>سیما افشنگ</dc:creator>
  <cp:lastModifiedBy>vahid</cp:lastModifiedBy>
  <cp:lastPrinted>2019-07-06T06:05:06Z</cp:lastPrinted>
  <dcterms:created xsi:type="dcterms:W3CDTF">2009-10-03T04:53:28Z</dcterms:created>
  <dcterms:modified xsi:type="dcterms:W3CDTF">2025-12-31T17:47:18Z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0x0101005198587C37634648BD66E429557CD7CF</vt:lpwstr>
  </property>
  <property fmtid="{D5CDD505-2E9C-101B-9397-08002B2CF9AE}" pid="3" name="Order">
    <vt:r8>311600</vt:r8>
  </property>
</Properties>
</file>